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r103753/Documents/"/>
    </mc:Choice>
  </mc:AlternateContent>
  <xr:revisionPtr revIDLastSave="0" documentId="8_{5A6ABE06-0538-C24B-A61B-9955C53066CD}" xr6:coauthVersionLast="47" xr6:coauthVersionMax="47" xr10:uidLastSave="{00000000-0000-0000-0000-000000000000}"/>
  <bookViews>
    <workbookView xWindow="0" yWindow="660" windowWidth="30240" windowHeight="18980" activeTab="2" xr2:uid="{CA6F651C-EB48-1443-940A-B15298396C8F}"/>
  </bookViews>
  <sheets>
    <sheet name="timetable" sheetId="1" r:id="rId1"/>
    <sheet name="Swipe data" sheetId="3" r:id="rId2"/>
    <sheet name="Ticket Information" sheetId="2" r:id="rId3"/>
    <sheet name="Output" sheetId="4" r:id="rId4"/>
  </sheets>
  <definedNames>
    <definedName name="_xlnm._FilterDatabase" localSheetId="1" hidden="1">'Swipe data'!$A$1:$O$29</definedName>
    <definedName name="_xlnm._FilterDatabase" localSheetId="2" hidden="1">'Ticket Information'!$A$1:$J$29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3" l="1"/>
  <c r="O28" i="3"/>
  <c r="O27" i="3"/>
  <c r="O26" i="3"/>
  <c r="O25" i="3"/>
  <c r="O24" i="3"/>
  <c r="O15" i="3"/>
  <c r="O22" i="3"/>
  <c r="O21" i="3"/>
  <c r="O20" i="3"/>
  <c r="O19" i="3"/>
  <c r="O18" i="3"/>
  <c r="O17" i="3"/>
  <c r="O16" i="3"/>
  <c r="O14" i="3"/>
  <c r="O13" i="3"/>
  <c r="O23" i="3"/>
  <c r="O12" i="3"/>
  <c r="O11" i="3"/>
  <c r="O10" i="3"/>
  <c r="O9" i="3"/>
  <c r="O8" i="3"/>
  <c r="O7" i="3"/>
  <c r="O6" i="3"/>
  <c r="O5" i="3"/>
  <c r="O4" i="3"/>
  <c r="O3" i="3"/>
  <c r="O2" i="3"/>
  <c r="L2" i="3"/>
  <c r="L29" i="1"/>
  <c r="L30" i="1" s="1"/>
  <c r="L31" i="1" s="1"/>
  <c r="L32" i="1" s="1"/>
  <c r="D29" i="1"/>
  <c r="D30" i="1" s="1"/>
  <c r="D31" i="1" s="1"/>
  <c r="D32" i="1" s="1"/>
  <c r="R34" i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Q34" i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P34" i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O34" i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N34" i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M34" i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L34" i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K34" i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J34" i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I34" i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H34" i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G34" i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F34" i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D34" i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R13" i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Q13" i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P13" i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O13" i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N13" i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M13" i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L13" i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K13" i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J13" i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I13" i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H13" i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F13" i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D13" i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C13" i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R3" i="1"/>
  <c r="R4" i="1" s="1"/>
  <c r="R5" i="1" s="1"/>
  <c r="R6" i="1" s="1"/>
  <c r="R7" i="1" s="1"/>
  <c r="R8" i="1" s="1"/>
  <c r="R9" i="1" s="1"/>
  <c r="R10" i="1" s="1"/>
  <c r="R11" i="1" s="1"/>
  <c r="Q3" i="1"/>
  <c r="Q4" i="1" s="1"/>
  <c r="Q5" i="1" s="1"/>
  <c r="Q6" i="1" s="1"/>
  <c r="Q7" i="1" s="1"/>
  <c r="Q8" i="1" s="1"/>
  <c r="Q9" i="1" s="1"/>
  <c r="Q10" i="1" s="1"/>
  <c r="Q11" i="1" s="1"/>
  <c r="P3" i="1"/>
  <c r="P4" i="1" s="1"/>
  <c r="P5" i="1" s="1"/>
  <c r="P6" i="1" s="1"/>
  <c r="P7" i="1" s="1"/>
  <c r="P8" i="1" s="1"/>
  <c r="P9" i="1" s="1"/>
  <c r="P10" i="1" s="1"/>
  <c r="P11" i="1" s="1"/>
  <c r="O3" i="1"/>
  <c r="O4" i="1" s="1"/>
  <c r="O5" i="1" s="1"/>
  <c r="O6" i="1" s="1"/>
  <c r="O7" i="1" s="1"/>
  <c r="O8" i="1" s="1"/>
  <c r="O9" i="1" s="1"/>
  <c r="O10" i="1" s="1"/>
  <c r="O11" i="1" s="1"/>
  <c r="N3" i="1"/>
  <c r="N4" i="1" s="1"/>
  <c r="N5" i="1" s="1"/>
  <c r="N6" i="1" s="1"/>
  <c r="N7" i="1" s="1"/>
  <c r="N8" i="1" s="1"/>
  <c r="N9" i="1" s="1"/>
  <c r="N10" i="1" s="1"/>
  <c r="N11" i="1" s="1"/>
  <c r="M3" i="1"/>
  <c r="M4" i="1" s="1"/>
  <c r="M5" i="1" s="1"/>
  <c r="M6" i="1" s="1"/>
  <c r="M7" i="1" s="1"/>
  <c r="M8" i="1" s="1"/>
  <c r="M9" i="1" s="1"/>
  <c r="M10" i="1" s="1"/>
  <c r="M11" i="1" s="1"/>
  <c r="L3" i="1"/>
  <c r="L4" i="1" s="1"/>
  <c r="L5" i="1" s="1"/>
  <c r="L6" i="1" s="1"/>
  <c r="L7" i="1" s="1"/>
  <c r="L8" i="1" s="1"/>
  <c r="L9" i="1" s="1"/>
  <c r="L10" i="1" s="1"/>
  <c r="L11" i="1" s="1"/>
  <c r="K3" i="1"/>
  <c r="K4" i="1" s="1"/>
  <c r="K5" i="1" s="1"/>
  <c r="K6" i="1" s="1"/>
  <c r="K7" i="1" s="1"/>
  <c r="K8" i="1" s="1"/>
  <c r="K9" i="1" s="1"/>
  <c r="K10" i="1" s="1"/>
  <c r="K11" i="1" s="1"/>
  <c r="J3" i="1"/>
  <c r="J4" i="1" s="1"/>
  <c r="J5" i="1" s="1"/>
  <c r="J6" i="1" s="1"/>
  <c r="J7" i="1" s="1"/>
  <c r="J8" i="1" s="1"/>
  <c r="J9" i="1" s="1"/>
  <c r="J10" i="1" s="1"/>
  <c r="J11" i="1" s="1"/>
  <c r="I3" i="1"/>
  <c r="I4" i="1" s="1"/>
  <c r="I5" i="1" s="1"/>
  <c r="I6" i="1" s="1"/>
  <c r="I7" i="1" s="1"/>
  <c r="I8" i="1" s="1"/>
  <c r="I9" i="1" s="1"/>
  <c r="I10" i="1" s="1"/>
  <c r="I11" i="1" s="1"/>
  <c r="H3" i="1"/>
  <c r="H4" i="1" s="1"/>
  <c r="H5" i="1" s="1"/>
  <c r="H6" i="1" s="1"/>
  <c r="H7" i="1" s="1"/>
  <c r="H8" i="1" s="1"/>
  <c r="H9" i="1" s="1"/>
  <c r="H10" i="1" s="1"/>
  <c r="H11" i="1" s="1"/>
  <c r="G3" i="1"/>
  <c r="G4" i="1" s="1"/>
  <c r="G5" i="1" s="1"/>
  <c r="G6" i="1" s="1"/>
  <c r="G7" i="1" s="1"/>
  <c r="G8" i="1" s="1"/>
  <c r="G9" i="1" s="1"/>
  <c r="G10" i="1" s="1"/>
  <c r="G11" i="1" s="1"/>
  <c r="F3" i="1"/>
  <c r="F4" i="1" s="1"/>
  <c r="F5" i="1" s="1"/>
  <c r="F6" i="1" s="1"/>
  <c r="F7" i="1" s="1"/>
  <c r="F8" i="1" s="1"/>
  <c r="F9" i="1" s="1"/>
  <c r="F10" i="1" s="1"/>
  <c r="F11" i="1" s="1"/>
  <c r="E3" i="1"/>
  <c r="E4" i="1" s="1"/>
  <c r="E5" i="1" s="1"/>
  <c r="E6" i="1" s="1"/>
  <c r="E7" i="1" s="1"/>
  <c r="E8" i="1" s="1"/>
  <c r="E9" i="1" s="1"/>
  <c r="E10" i="1" s="1"/>
  <c r="E11" i="1" s="1"/>
  <c r="D3" i="1"/>
  <c r="D4" i="1" s="1"/>
  <c r="D5" i="1" s="1"/>
  <c r="D6" i="1" s="1"/>
  <c r="D7" i="1" s="1"/>
  <c r="D8" i="1" s="1"/>
  <c r="D9" i="1" s="1"/>
  <c r="D10" i="1" s="1"/>
  <c r="D11" i="1" s="1"/>
  <c r="C3" i="1"/>
  <c r="C4" i="1" s="1"/>
  <c r="C5" i="1" s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<sst xmlns="http://schemas.openxmlformats.org/spreadsheetml/2006/main" count="582" uniqueCount="105">
  <si>
    <t>Train ID</t>
  </si>
  <si>
    <t>End Station</t>
  </si>
  <si>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Name</t>
    </r>
  </si>
  <si>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Age</t>
    </r>
  </si>
  <si>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Gender</t>
    </r>
  </si>
  <si>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Start station</t>
    </r>
  </si>
  <si>
    <t>Start location - GPS</t>
  </si>
  <si>
    <t xml:space="preserve">End location GPS </t>
  </si>
  <si>
    <t>Approximate boarding time</t>
  </si>
  <si>
    <t>Feeder Service (Y/N)</t>
  </si>
  <si>
    <t>Bike / Rickshaw</t>
  </si>
  <si>
    <t>Arti</t>
  </si>
  <si>
    <t>Purnima</t>
  </si>
  <si>
    <t>Nandita</t>
  </si>
  <si>
    <t>Roger</t>
  </si>
  <si>
    <t>Sampath</t>
  </si>
  <si>
    <t>Uma</t>
  </si>
  <si>
    <t>Nalini</t>
  </si>
  <si>
    <t>Vinesh</t>
  </si>
  <si>
    <t>Ashok</t>
  </si>
  <si>
    <t>Sonal</t>
  </si>
  <si>
    <t>Eeti</t>
  </si>
  <si>
    <t>Sarika</t>
  </si>
  <si>
    <t>Aritra</t>
  </si>
  <si>
    <t>Pradeep</t>
  </si>
  <si>
    <t>F</t>
  </si>
  <si>
    <t>M</t>
  </si>
  <si>
    <t>RamWadi</t>
  </si>
  <si>
    <t>Ruby Hall</t>
  </si>
  <si>
    <t>Kalyani Nagar</t>
  </si>
  <si>
    <t>Bund Garden</t>
  </si>
  <si>
    <t>Pune Station</t>
  </si>
  <si>
    <t>Civil Court</t>
  </si>
  <si>
    <t xml:space="preserve">Ruby Hall </t>
  </si>
  <si>
    <t>Deccan Gymkhana</t>
  </si>
  <si>
    <t>Anand Nagar</t>
  </si>
  <si>
    <t>Ideal Colony</t>
  </si>
  <si>
    <t>Vanaz</t>
  </si>
  <si>
    <t>Ram Wadi</t>
  </si>
  <si>
    <t>Bharti</t>
  </si>
  <si>
    <t>Mukta</t>
  </si>
  <si>
    <t>Aparna</t>
  </si>
  <si>
    <t>Vijay</t>
  </si>
  <si>
    <t xml:space="preserve">Sam </t>
  </si>
  <si>
    <t>Chitra</t>
  </si>
  <si>
    <t>Sumati</t>
  </si>
  <si>
    <t>Shravan</t>
  </si>
  <si>
    <t>Sumit</t>
  </si>
  <si>
    <t>Shraddha</t>
  </si>
  <si>
    <t>Renuka</t>
  </si>
  <si>
    <t>Shaily</t>
  </si>
  <si>
    <t>Mudasir</t>
  </si>
  <si>
    <t>Surya</t>
  </si>
  <si>
    <t>Y</t>
  </si>
  <si>
    <t>Rickshaw</t>
  </si>
  <si>
    <t>N</t>
  </si>
  <si>
    <t>Bike</t>
  </si>
  <si>
    <t>Swipe In station</t>
  </si>
  <si>
    <t>Swipe in time</t>
  </si>
  <si>
    <t>Approximate time calculated to alight at end station</t>
  </si>
  <si>
    <t>Yerwada</t>
  </si>
  <si>
    <t>Mangalwar Peth</t>
  </si>
  <si>
    <t>Chhatrapthu Samjabi Udyan</t>
  </si>
  <si>
    <t>PMC Bhavan</t>
  </si>
  <si>
    <t>Garware College</t>
  </si>
  <si>
    <t>Nul Stop</t>
  </si>
  <si>
    <t>Direction</t>
  </si>
  <si>
    <t>UP</t>
  </si>
  <si>
    <t>DOWN</t>
  </si>
  <si>
    <t>Approximate train caught</t>
  </si>
  <si>
    <t>Approximate time outside station</t>
  </si>
  <si>
    <t>Phoenix Mall</t>
  </si>
  <si>
    <t>Ruby Hall Hospital</t>
  </si>
  <si>
    <t>Johnson and Johnson Control</t>
  </si>
  <si>
    <t>Landmark Gardens</t>
  </si>
  <si>
    <t>Bishops School</t>
  </si>
  <si>
    <t>Trump Towers</t>
  </si>
  <si>
    <t>Peacock Palace</t>
  </si>
  <si>
    <t>Kumar City</t>
  </si>
  <si>
    <t>Kalpataru Gardens</t>
  </si>
  <si>
    <t>Tata Capital</t>
  </si>
  <si>
    <t>Tata Chemicals</t>
  </si>
  <si>
    <t>TCS</t>
  </si>
  <si>
    <t>Vinspa Apartment</t>
  </si>
  <si>
    <t>La Shanz</t>
  </si>
  <si>
    <t>Farjeste</t>
  </si>
  <si>
    <t>Madhuban</t>
  </si>
  <si>
    <t>Jehangir Hospital</t>
  </si>
  <si>
    <t>Wadia College</t>
  </si>
  <si>
    <t>PMC office</t>
  </si>
  <si>
    <t>Ruby Hall hospital</t>
  </si>
  <si>
    <t>Padma Vilas</t>
  </si>
  <si>
    <t>Atur Park</t>
  </si>
  <si>
    <t>Sacred Heart</t>
  </si>
  <si>
    <t>Laxmi Vilas</t>
  </si>
  <si>
    <t>Canopus</t>
  </si>
  <si>
    <t>Riverside Estates</t>
  </si>
  <si>
    <t>Chitale Bandhu</t>
  </si>
  <si>
    <t>Anmol Heights</t>
  </si>
  <si>
    <t>Income Tax colony</t>
  </si>
  <si>
    <t>St. Francis Church</t>
  </si>
  <si>
    <t>Shri Vallabh</t>
  </si>
  <si>
    <t>Time</t>
  </si>
  <si>
    <t>Chhatrapthi Sambhaji Udyan</t>
  </si>
  <si>
    <t>TIME-WISE NUMBER OF FEEDER VEHICLES REQUIRED AT EACH PUNE METRO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</si>
</sst>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2"/>
      <color theme="1"/>
      <name val="Aptos"/>
      <family val="1"/>
    </font>
    <font>
      <sz val="12"/>
      <color rgb="FF000000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20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20" fontId="0" fillId="3" borderId="0" xfId="0" applyNumberFormat="1" applyFill="1" applyAlignment="1">
      <alignment wrapText="1"/>
    </xf>
    <xf numFmtId="20" fontId="0" fillId="4" borderId="0" xfId="0" applyNumberFormat="1" applyFill="1" applyAlignment="1">
      <alignment wrapText="1"/>
    </xf>
    <xf numFmtId="20" fontId="0" fillId="5" borderId="0" xfId="0" applyNumberFormat="1" applyFill="1" applyAlignment="1">
      <alignment wrapText="1"/>
    </xf>
    <xf numFmtId="20" fontId="0" fillId="6" borderId="1" xfId="0" applyNumberFormat="1" applyFill="1" applyBorder="1"/>
    <xf numFmtId="0" fontId="0" fillId="6" borderId="1" xfId="0" applyFill="1" applyBorder="1"/>
    <xf numFmtId="0" fontId="0" fillId="7" borderId="1" xfId="0" applyFill="1" applyBorder="1" applyAlignment="1">
      <alignment wrapText="1"/>
    </xf>
    <xf numFmtId="20" fontId="0" fillId="7" borderId="1" xfId="0" applyNumberForma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20" fontId="0" fillId="0" borderId="1" xfId="0" applyNumberFormat="1" applyBorder="1" applyAlignment="1">
      <alignment wrapText="1"/>
    </xf>
    <xf numFmtId="20" fontId="0" fillId="0" borderId="1" xfId="0" applyNumberFormat="1" applyBorder="1"/>
    <xf numFmtId="0" fontId="5" fillId="10" borderId="3" xfId="0" applyFont="1" applyFill="1" applyBorder="1" applyAlignment="1">
      <alignment horizontal="center"/>
    </xf>
    <xf numFmtId="0" fontId="6" fillId="9" borderId="1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7" fillId="0" borderId="0" xfId="0" applyFont="1"/>
    <xf numFmtId="20" fontId="7" fillId="10" borderId="1" xfId="0" applyNumberFormat="1" applyFont="1" applyFill="1" applyBorder="1" applyAlignment="1">
      <alignment horizontal="center"/>
    </xf>
    <xf numFmtId="0" fontId="7" fillId="11" borderId="1" xfId="0" applyFont="1" applyFill="1" applyBorder="1"/>
    <xf numFmtId="0" fontId="7" fillId="5" borderId="1" xfId="0" applyFont="1" applyFill="1" applyBorder="1"/>
    <xf numFmtId="20" fontId="7" fillId="1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3DF5-CE3C-4B45-96A0-41137D3E2E23}">
  <dimension ref="A1:R56"/>
  <sheetViews>
    <sheetView workbookViewId="0">
      <pane ySplit="1" topLeftCell="A2" activePane="bottomLeft" state="frozen"/>
      <selection pane="bottomLeft" sqref="A1:R1"/>
    </sheetView>
  </sheetViews>
  <sheetFormatPr baseColWidth="10" defaultColWidth="10.83203125" defaultRowHeight="16" x14ac:dyDescent="0.2"/>
  <cols>
    <col min="1" max="1" width="15.83203125" style="1" customWidth="1"/>
    <col min="2" max="2" width="15.33203125" style="1" customWidth="1"/>
    <col min="3" max="3" width="10.83203125" style="1"/>
    <col min="4" max="4" width="12.83203125" style="1" customWidth="1"/>
    <col min="5" max="5" width="11.33203125" style="1" customWidth="1"/>
    <col min="6" max="11" width="10.83203125" style="1"/>
    <col min="12" max="12" width="13.6640625" style="1" customWidth="1"/>
    <col min="13" max="16" width="10.83203125" style="1"/>
    <col min="17" max="17" width="11" style="1" customWidth="1"/>
    <col min="18" max="16384" width="10.83203125" style="1"/>
  </cols>
  <sheetData>
    <row r="1" spans="1:18" ht="34" x14ac:dyDescent="0.2">
      <c r="A1" s="4" t="s">
        <v>0</v>
      </c>
      <c r="B1" s="4" t="s">
        <v>66</v>
      </c>
      <c r="C1" s="4" t="s">
        <v>38</v>
      </c>
      <c r="D1" s="4" t="s">
        <v>29</v>
      </c>
      <c r="E1" s="4" t="s">
        <v>60</v>
      </c>
      <c r="F1" s="4" t="s">
        <v>30</v>
      </c>
      <c r="G1" s="4" t="s">
        <v>28</v>
      </c>
      <c r="H1" s="4" t="s">
        <v>31</v>
      </c>
      <c r="I1" s="4" t="s">
        <v>61</v>
      </c>
      <c r="J1" s="4" t="s">
        <v>32</v>
      </c>
      <c r="K1" s="4" t="s">
        <v>63</v>
      </c>
      <c r="L1" s="4" t="s">
        <v>62</v>
      </c>
      <c r="M1" s="4" t="s">
        <v>34</v>
      </c>
      <c r="N1" s="4" t="s">
        <v>64</v>
      </c>
      <c r="O1" s="4" t="s">
        <v>65</v>
      </c>
      <c r="P1" s="4" t="s">
        <v>36</v>
      </c>
      <c r="Q1" s="4" t="s">
        <v>35</v>
      </c>
      <c r="R1" s="4" t="s">
        <v>37</v>
      </c>
    </row>
    <row r="2" spans="1:18" ht="17" x14ac:dyDescent="0.2">
      <c r="A2" s="1">
        <v>1001</v>
      </c>
      <c r="B2" s="1" t="s">
        <v>67</v>
      </c>
      <c r="C2" s="7">
        <v>0.25</v>
      </c>
      <c r="D2" s="5">
        <v>0.25138888888888888</v>
      </c>
      <c r="E2" s="5">
        <v>0.25277777777777777</v>
      </c>
      <c r="F2" s="5">
        <v>0.25486111111111109</v>
      </c>
      <c r="G2" s="5">
        <v>0.25694444444444442</v>
      </c>
      <c r="H2" s="5">
        <v>0.25833333333333336</v>
      </c>
      <c r="I2" s="5">
        <v>0.26041666666666669</v>
      </c>
      <c r="J2" s="5">
        <v>0.26250000000000001</v>
      </c>
      <c r="K2" s="5">
        <v>0.26527777777777778</v>
      </c>
      <c r="L2" s="5">
        <v>0.26666666666666666</v>
      </c>
      <c r="M2" s="5">
        <v>0.26874999999999999</v>
      </c>
      <c r="N2" s="5">
        <v>0.27013888888888887</v>
      </c>
      <c r="O2" s="5">
        <v>0.27152777777777776</v>
      </c>
      <c r="P2" s="5">
        <v>0.27291666666666664</v>
      </c>
      <c r="Q2" s="5">
        <v>0.27430555555555558</v>
      </c>
      <c r="R2" s="8">
        <v>0.27569444444444446</v>
      </c>
    </row>
    <row r="3" spans="1:18" ht="17" x14ac:dyDescent="0.2">
      <c r="A3" s="1">
        <v>1002</v>
      </c>
      <c r="B3" s="1" t="s">
        <v>67</v>
      </c>
      <c r="C3" s="7">
        <f>C2+TIME(0,6,0)</f>
        <v>0.25416666666666665</v>
      </c>
      <c r="D3" s="5">
        <f t="shared" ref="D3:R11" si="0">D2+TIME(0,6,0)</f>
        <v>0.25555555555555554</v>
      </c>
      <c r="E3" s="5">
        <f t="shared" si="0"/>
        <v>0.25694444444444442</v>
      </c>
      <c r="F3" s="5">
        <f t="shared" si="0"/>
        <v>0.25902777777777775</v>
      </c>
      <c r="G3" s="5">
        <f t="shared" si="0"/>
        <v>0.26111111111111107</v>
      </c>
      <c r="H3" s="5">
        <f t="shared" si="0"/>
        <v>0.26250000000000001</v>
      </c>
      <c r="I3" s="5">
        <f t="shared" si="0"/>
        <v>0.26458333333333334</v>
      </c>
      <c r="J3" s="5">
        <f t="shared" si="0"/>
        <v>0.26666666666666666</v>
      </c>
      <c r="K3" s="5">
        <f t="shared" si="0"/>
        <v>0.26944444444444443</v>
      </c>
      <c r="L3" s="5">
        <f t="shared" si="0"/>
        <v>0.27083333333333331</v>
      </c>
      <c r="M3" s="5">
        <f t="shared" si="0"/>
        <v>0.27291666666666664</v>
      </c>
      <c r="N3" s="5">
        <f t="shared" si="0"/>
        <v>0.27430555555555552</v>
      </c>
      <c r="O3" s="5">
        <f t="shared" si="0"/>
        <v>0.27569444444444441</v>
      </c>
      <c r="P3" s="5">
        <f t="shared" si="0"/>
        <v>0.27708333333333329</v>
      </c>
      <c r="Q3" s="5">
        <f t="shared" si="0"/>
        <v>0.27847222222222223</v>
      </c>
      <c r="R3" s="8">
        <f t="shared" si="0"/>
        <v>0.27986111111111112</v>
      </c>
    </row>
    <row r="4" spans="1:18" ht="17" x14ac:dyDescent="0.2">
      <c r="A4" s="1">
        <v>1003</v>
      </c>
      <c r="B4" s="1" t="s">
        <v>67</v>
      </c>
      <c r="C4" s="7">
        <f t="shared" ref="C4:C11" si="1">C3+TIME(0,6,0)</f>
        <v>0.2583333333333333</v>
      </c>
      <c r="D4" s="5">
        <f t="shared" si="0"/>
        <v>0.25972222222222219</v>
      </c>
      <c r="E4" s="5">
        <f t="shared" si="0"/>
        <v>0.26111111111111107</v>
      </c>
      <c r="F4" s="5">
        <f t="shared" si="0"/>
        <v>0.2631944444444444</v>
      </c>
      <c r="G4" s="5">
        <f t="shared" si="0"/>
        <v>0.26527777777777772</v>
      </c>
      <c r="H4" s="5">
        <f t="shared" si="0"/>
        <v>0.26666666666666666</v>
      </c>
      <c r="I4" s="5">
        <f t="shared" si="0"/>
        <v>0.26874999999999999</v>
      </c>
      <c r="J4" s="5">
        <f t="shared" si="0"/>
        <v>0.27083333333333331</v>
      </c>
      <c r="K4" s="5">
        <f t="shared" si="0"/>
        <v>0.27361111111111108</v>
      </c>
      <c r="L4" s="5">
        <f t="shared" si="0"/>
        <v>0.27499999999999997</v>
      </c>
      <c r="M4" s="5">
        <f t="shared" si="0"/>
        <v>0.27708333333333329</v>
      </c>
      <c r="N4" s="5">
        <f t="shared" si="0"/>
        <v>0.27847222222222218</v>
      </c>
      <c r="O4" s="5">
        <f t="shared" si="0"/>
        <v>0.27986111111111106</v>
      </c>
      <c r="P4" s="5">
        <f t="shared" si="0"/>
        <v>0.28124999999999994</v>
      </c>
      <c r="Q4" s="5">
        <f t="shared" si="0"/>
        <v>0.28263888888888888</v>
      </c>
      <c r="R4" s="8">
        <f t="shared" si="0"/>
        <v>0.28402777777777777</v>
      </c>
    </row>
    <row r="5" spans="1:18" ht="17" x14ac:dyDescent="0.2">
      <c r="A5" s="1">
        <v>1004</v>
      </c>
      <c r="B5" s="1" t="s">
        <v>67</v>
      </c>
      <c r="C5" s="7">
        <f t="shared" si="1"/>
        <v>0.26249999999999996</v>
      </c>
      <c r="D5" s="5">
        <f t="shared" si="0"/>
        <v>0.26388888888888884</v>
      </c>
      <c r="E5" s="5">
        <f t="shared" si="0"/>
        <v>0.26527777777777772</v>
      </c>
      <c r="F5" s="5">
        <f t="shared" si="0"/>
        <v>0.26736111111111105</v>
      </c>
      <c r="G5" s="5">
        <f t="shared" si="0"/>
        <v>0.26944444444444438</v>
      </c>
      <c r="H5" s="5">
        <f t="shared" si="0"/>
        <v>0.27083333333333331</v>
      </c>
      <c r="I5" s="5">
        <f t="shared" si="0"/>
        <v>0.27291666666666664</v>
      </c>
      <c r="J5" s="5">
        <f t="shared" si="0"/>
        <v>0.27499999999999997</v>
      </c>
      <c r="K5" s="5">
        <f t="shared" si="0"/>
        <v>0.27777777777777773</v>
      </c>
      <c r="L5" s="5">
        <f t="shared" si="0"/>
        <v>0.27916666666666662</v>
      </c>
      <c r="M5" s="5">
        <f t="shared" si="0"/>
        <v>0.28124999999999994</v>
      </c>
      <c r="N5" s="5">
        <f t="shared" si="0"/>
        <v>0.28263888888888883</v>
      </c>
      <c r="O5" s="5">
        <f t="shared" si="0"/>
        <v>0.28402777777777771</v>
      </c>
      <c r="P5" s="5">
        <f t="shared" si="0"/>
        <v>0.2854166666666666</v>
      </c>
      <c r="Q5" s="5">
        <f t="shared" si="0"/>
        <v>0.28680555555555554</v>
      </c>
      <c r="R5" s="8">
        <f t="shared" si="0"/>
        <v>0.28819444444444442</v>
      </c>
    </row>
    <row r="6" spans="1:18" ht="17" x14ac:dyDescent="0.2">
      <c r="A6" s="1">
        <v>1005</v>
      </c>
      <c r="B6" s="1" t="s">
        <v>67</v>
      </c>
      <c r="C6" s="7">
        <f t="shared" si="1"/>
        <v>0.26666666666666661</v>
      </c>
      <c r="D6" s="5">
        <f t="shared" si="0"/>
        <v>0.26805555555555549</v>
      </c>
      <c r="E6" s="5">
        <f t="shared" si="0"/>
        <v>0.26944444444444438</v>
      </c>
      <c r="F6" s="5">
        <f t="shared" si="0"/>
        <v>0.2715277777777777</v>
      </c>
      <c r="G6" s="5">
        <f t="shared" si="0"/>
        <v>0.27361111111111103</v>
      </c>
      <c r="H6" s="5">
        <f t="shared" si="0"/>
        <v>0.27499999999999997</v>
      </c>
      <c r="I6" s="5">
        <f t="shared" si="0"/>
        <v>0.27708333333333329</v>
      </c>
      <c r="J6" s="5">
        <f t="shared" si="0"/>
        <v>0.27916666666666662</v>
      </c>
      <c r="K6" s="5">
        <f t="shared" si="0"/>
        <v>0.28194444444444439</v>
      </c>
      <c r="L6" s="5">
        <f t="shared" si="0"/>
        <v>0.28333333333333327</v>
      </c>
      <c r="M6" s="5">
        <f t="shared" si="0"/>
        <v>0.2854166666666666</v>
      </c>
      <c r="N6" s="5">
        <f t="shared" si="0"/>
        <v>0.28680555555555548</v>
      </c>
      <c r="O6" s="5">
        <f t="shared" si="0"/>
        <v>0.28819444444444436</v>
      </c>
      <c r="P6" s="5">
        <f t="shared" si="0"/>
        <v>0.28958333333333325</v>
      </c>
      <c r="Q6" s="5">
        <f t="shared" si="0"/>
        <v>0.29097222222222219</v>
      </c>
      <c r="R6" s="8">
        <f t="shared" si="0"/>
        <v>0.29236111111111107</v>
      </c>
    </row>
    <row r="7" spans="1:18" ht="17" x14ac:dyDescent="0.2">
      <c r="A7" s="1">
        <v>1006</v>
      </c>
      <c r="B7" s="1" t="s">
        <v>67</v>
      </c>
      <c r="C7" s="7">
        <f t="shared" si="1"/>
        <v>0.27083333333333326</v>
      </c>
      <c r="D7" s="5">
        <f t="shared" si="0"/>
        <v>0.27222222222222214</v>
      </c>
      <c r="E7" s="5">
        <f t="shared" si="0"/>
        <v>0.27361111111111103</v>
      </c>
      <c r="F7" s="5">
        <f t="shared" si="0"/>
        <v>0.27569444444444435</v>
      </c>
      <c r="G7" s="5">
        <f t="shared" si="0"/>
        <v>0.27777777777777768</v>
      </c>
      <c r="H7" s="5">
        <f t="shared" si="0"/>
        <v>0.27916666666666662</v>
      </c>
      <c r="I7" s="5">
        <f t="shared" si="0"/>
        <v>0.28124999999999994</v>
      </c>
      <c r="J7" s="5">
        <f t="shared" si="0"/>
        <v>0.28333333333333327</v>
      </c>
      <c r="K7" s="5">
        <f t="shared" si="0"/>
        <v>0.28611111111111104</v>
      </c>
      <c r="L7" s="5">
        <f t="shared" si="0"/>
        <v>0.28749999999999992</v>
      </c>
      <c r="M7" s="5">
        <f t="shared" si="0"/>
        <v>0.28958333333333325</v>
      </c>
      <c r="N7" s="5">
        <f t="shared" si="0"/>
        <v>0.29097222222222213</v>
      </c>
      <c r="O7" s="5">
        <f t="shared" si="0"/>
        <v>0.29236111111111102</v>
      </c>
      <c r="P7" s="5">
        <f t="shared" si="0"/>
        <v>0.2937499999999999</v>
      </c>
      <c r="Q7" s="5">
        <f t="shared" si="0"/>
        <v>0.29513888888888884</v>
      </c>
      <c r="R7" s="8">
        <f t="shared" si="0"/>
        <v>0.29652777777777772</v>
      </c>
    </row>
    <row r="8" spans="1:18" ht="17" x14ac:dyDescent="0.2">
      <c r="A8" s="1">
        <v>1007</v>
      </c>
      <c r="B8" s="1" t="s">
        <v>67</v>
      </c>
      <c r="C8" s="7">
        <f t="shared" si="1"/>
        <v>0.27499999999999991</v>
      </c>
      <c r="D8" s="5">
        <f t="shared" si="0"/>
        <v>0.2763888888888888</v>
      </c>
      <c r="E8" s="5">
        <f t="shared" si="0"/>
        <v>0.27777777777777768</v>
      </c>
      <c r="F8" s="5">
        <f t="shared" si="0"/>
        <v>0.27986111111111101</v>
      </c>
      <c r="G8" s="5">
        <f t="shared" si="0"/>
        <v>0.28194444444444433</v>
      </c>
      <c r="H8" s="5">
        <f t="shared" si="0"/>
        <v>0.28333333333333327</v>
      </c>
      <c r="I8" s="5">
        <f t="shared" si="0"/>
        <v>0.2854166666666666</v>
      </c>
      <c r="J8" s="5">
        <f t="shared" si="0"/>
        <v>0.28749999999999992</v>
      </c>
      <c r="K8" s="5">
        <f t="shared" si="0"/>
        <v>0.29027777777777769</v>
      </c>
      <c r="L8" s="5">
        <f t="shared" si="0"/>
        <v>0.29166666666666657</v>
      </c>
      <c r="M8" s="5">
        <f t="shared" si="0"/>
        <v>0.2937499999999999</v>
      </c>
      <c r="N8" s="5">
        <f t="shared" si="0"/>
        <v>0.29513888888888878</v>
      </c>
      <c r="O8" s="5">
        <f t="shared" si="0"/>
        <v>0.29652777777777767</v>
      </c>
      <c r="P8" s="5">
        <f t="shared" si="0"/>
        <v>0.29791666666666655</v>
      </c>
      <c r="Q8" s="5">
        <f t="shared" si="0"/>
        <v>0.29930555555555549</v>
      </c>
      <c r="R8" s="8">
        <f t="shared" si="0"/>
        <v>0.30069444444444438</v>
      </c>
    </row>
    <row r="9" spans="1:18" ht="17" x14ac:dyDescent="0.2">
      <c r="A9" s="1">
        <v>1008</v>
      </c>
      <c r="B9" s="1" t="s">
        <v>67</v>
      </c>
      <c r="C9" s="7">
        <f t="shared" si="1"/>
        <v>0.27916666666666656</v>
      </c>
      <c r="D9" s="5">
        <f t="shared" si="0"/>
        <v>0.28055555555555545</v>
      </c>
      <c r="E9" s="5">
        <f t="shared" si="0"/>
        <v>0.28194444444444433</v>
      </c>
      <c r="F9" s="5">
        <f t="shared" si="0"/>
        <v>0.28402777777777766</v>
      </c>
      <c r="G9" s="5">
        <f t="shared" si="0"/>
        <v>0.28611111111111098</v>
      </c>
      <c r="H9" s="5">
        <f t="shared" si="0"/>
        <v>0.28749999999999992</v>
      </c>
      <c r="I9" s="5">
        <f t="shared" si="0"/>
        <v>0.28958333333333325</v>
      </c>
      <c r="J9" s="5">
        <f t="shared" si="0"/>
        <v>0.29166666666666657</v>
      </c>
      <c r="K9" s="5">
        <f t="shared" si="0"/>
        <v>0.29444444444444434</v>
      </c>
      <c r="L9" s="5">
        <f t="shared" si="0"/>
        <v>0.29583333333333323</v>
      </c>
      <c r="M9" s="5">
        <f t="shared" si="0"/>
        <v>0.29791666666666655</v>
      </c>
      <c r="N9" s="5">
        <f t="shared" si="0"/>
        <v>0.29930555555555544</v>
      </c>
      <c r="O9" s="5">
        <f t="shared" si="0"/>
        <v>0.30069444444444432</v>
      </c>
      <c r="P9" s="5">
        <f t="shared" si="0"/>
        <v>0.3020833333333332</v>
      </c>
      <c r="Q9" s="5">
        <f t="shared" si="0"/>
        <v>0.30347222222222214</v>
      </c>
      <c r="R9" s="8">
        <f t="shared" si="0"/>
        <v>0.30486111111111103</v>
      </c>
    </row>
    <row r="10" spans="1:18" ht="17" x14ac:dyDescent="0.2">
      <c r="A10" s="1">
        <v>1009</v>
      </c>
      <c r="B10" s="1" t="s">
        <v>67</v>
      </c>
      <c r="C10" s="7">
        <f t="shared" si="1"/>
        <v>0.28333333333333321</v>
      </c>
      <c r="D10" s="5">
        <f t="shared" si="0"/>
        <v>0.2847222222222221</v>
      </c>
      <c r="E10" s="5">
        <f t="shared" si="0"/>
        <v>0.28611111111111098</v>
      </c>
      <c r="F10" s="5">
        <f t="shared" si="0"/>
        <v>0.28819444444444431</v>
      </c>
      <c r="G10" s="5">
        <f t="shared" si="0"/>
        <v>0.29027777777777763</v>
      </c>
      <c r="H10" s="5">
        <f t="shared" si="0"/>
        <v>0.29166666666666657</v>
      </c>
      <c r="I10" s="5">
        <f t="shared" si="0"/>
        <v>0.2937499999999999</v>
      </c>
      <c r="J10" s="5">
        <f t="shared" si="0"/>
        <v>0.29583333333333323</v>
      </c>
      <c r="K10" s="5">
        <f t="shared" si="0"/>
        <v>0.29861111111111099</v>
      </c>
      <c r="L10" s="5">
        <f t="shared" si="0"/>
        <v>0.29999999999999988</v>
      </c>
      <c r="M10" s="5">
        <f t="shared" si="0"/>
        <v>0.3020833333333332</v>
      </c>
      <c r="N10" s="5">
        <f t="shared" si="0"/>
        <v>0.30347222222222209</v>
      </c>
      <c r="O10" s="5">
        <f t="shared" si="0"/>
        <v>0.30486111111111097</v>
      </c>
      <c r="P10" s="5">
        <f t="shared" si="0"/>
        <v>0.30624999999999986</v>
      </c>
      <c r="Q10" s="5">
        <f t="shared" si="0"/>
        <v>0.3076388888888888</v>
      </c>
      <c r="R10" s="8">
        <f t="shared" si="0"/>
        <v>0.30902777777777768</v>
      </c>
    </row>
    <row r="11" spans="1:18" ht="17" x14ac:dyDescent="0.2">
      <c r="A11" s="1">
        <v>1010</v>
      </c>
      <c r="B11" s="1" t="s">
        <v>67</v>
      </c>
      <c r="C11" s="7">
        <f t="shared" si="1"/>
        <v>0.28749999999999987</v>
      </c>
      <c r="D11" s="5">
        <f t="shared" si="0"/>
        <v>0.28888888888888875</v>
      </c>
      <c r="E11" s="5">
        <f t="shared" si="0"/>
        <v>0.29027777777777763</v>
      </c>
      <c r="F11" s="5">
        <f t="shared" si="0"/>
        <v>0.29236111111111096</v>
      </c>
      <c r="G11" s="5">
        <f t="shared" si="0"/>
        <v>0.29444444444444429</v>
      </c>
      <c r="H11" s="5">
        <f t="shared" si="0"/>
        <v>0.29583333333333323</v>
      </c>
      <c r="I11" s="5">
        <f t="shared" si="0"/>
        <v>0.29791666666666655</v>
      </c>
      <c r="J11" s="5">
        <f t="shared" si="0"/>
        <v>0.29999999999999988</v>
      </c>
      <c r="K11" s="5">
        <f t="shared" si="0"/>
        <v>0.30277777777777765</v>
      </c>
      <c r="L11" s="5">
        <f t="shared" si="0"/>
        <v>0.30416666666666653</v>
      </c>
      <c r="M11" s="5">
        <f t="shared" si="0"/>
        <v>0.30624999999999986</v>
      </c>
      <c r="N11" s="5">
        <f t="shared" si="0"/>
        <v>0.30763888888888874</v>
      </c>
      <c r="O11" s="5">
        <f t="shared" si="0"/>
        <v>0.30902777777777762</v>
      </c>
      <c r="P11" s="5">
        <f t="shared" si="0"/>
        <v>0.31041666666666651</v>
      </c>
      <c r="Q11" s="5">
        <f t="shared" si="0"/>
        <v>0.31180555555555545</v>
      </c>
      <c r="R11" s="8">
        <f t="shared" si="0"/>
        <v>0.31319444444444433</v>
      </c>
    </row>
    <row r="12" spans="1:18" ht="17" x14ac:dyDescent="0.2">
      <c r="A12" s="1">
        <v>1011</v>
      </c>
      <c r="B12" s="1" t="s">
        <v>67</v>
      </c>
      <c r="C12" s="7">
        <v>0.33333333333333331</v>
      </c>
      <c r="D12" s="5">
        <v>0.3347222222222222</v>
      </c>
      <c r="E12" s="5">
        <v>0.33611111111111114</v>
      </c>
      <c r="F12" s="5">
        <v>0.33819444444444446</v>
      </c>
      <c r="G12" s="5">
        <v>0.34027777777777779</v>
      </c>
      <c r="H12" s="5">
        <v>0.34166666666666667</v>
      </c>
      <c r="I12" s="5">
        <v>0.34375</v>
      </c>
      <c r="J12" s="5">
        <v>0.34583333333333333</v>
      </c>
      <c r="K12" s="5">
        <v>0.34861111111111109</v>
      </c>
      <c r="L12" s="5">
        <v>0.35</v>
      </c>
      <c r="M12" s="5">
        <v>0.35208333333333336</v>
      </c>
      <c r="N12" s="5">
        <v>0.35347222222222224</v>
      </c>
      <c r="O12" s="5">
        <v>0.35486111111111113</v>
      </c>
      <c r="P12" s="5">
        <v>0.35625000000000001</v>
      </c>
      <c r="Q12" s="5">
        <v>0.3576388888888889</v>
      </c>
      <c r="R12" s="8">
        <v>0.35902777777777778</v>
      </c>
    </row>
    <row r="13" spans="1:18" ht="17" x14ac:dyDescent="0.2">
      <c r="A13" s="1">
        <v>1012</v>
      </c>
      <c r="B13" s="1" t="s">
        <v>67</v>
      </c>
      <c r="C13" s="7">
        <f t="shared" ref="C13:C28" si="2">C12+TIME(0,6,0)</f>
        <v>0.33749999999999997</v>
      </c>
      <c r="D13" s="5">
        <f t="shared" ref="D13:D32" si="3">D12+TIME(0,6,0)</f>
        <v>0.33888888888888885</v>
      </c>
      <c r="E13" s="5">
        <f t="shared" ref="E13:E32" si="4">E12+TIME(0,6,0)</f>
        <v>0.34027777777777779</v>
      </c>
      <c r="F13" s="5">
        <f t="shared" ref="F13:F32" si="5">F12+TIME(0,6,0)</f>
        <v>0.34236111111111112</v>
      </c>
      <c r="G13" s="5">
        <f t="shared" ref="G13:G32" si="6">G12+TIME(0,6,0)</f>
        <v>0.34444444444444444</v>
      </c>
      <c r="H13" s="5">
        <f t="shared" ref="H13:H32" si="7">H12+TIME(0,6,0)</f>
        <v>0.34583333333333333</v>
      </c>
      <c r="I13" s="5">
        <f t="shared" ref="I13:I32" si="8">I12+TIME(0,6,0)</f>
        <v>0.34791666666666665</v>
      </c>
      <c r="J13" s="5">
        <f t="shared" ref="J13:J32" si="9">J12+TIME(0,6,0)</f>
        <v>0.35</v>
      </c>
      <c r="K13" s="5">
        <f t="shared" ref="K13:K32" si="10">K12+TIME(0,6,0)</f>
        <v>0.35277777777777775</v>
      </c>
      <c r="L13" s="5">
        <f t="shared" ref="L13:L32" si="11">L12+TIME(0,6,0)</f>
        <v>0.35416666666666663</v>
      </c>
      <c r="M13" s="5">
        <f t="shared" ref="M13:M32" si="12">M12+TIME(0,6,0)</f>
        <v>0.35625000000000001</v>
      </c>
      <c r="N13" s="5">
        <f t="shared" ref="N13:N32" si="13">N12+TIME(0,6,0)</f>
        <v>0.3576388888888889</v>
      </c>
      <c r="O13" s="5">
        <f t="shared" ref="O13:O32" si="14">O12+TIME(0,6,0)</f>
        <v>0.35902777777777778</v>
      </c>
      <c r="P13" s="5">
        <f t="shared" ref="P13:P32" si="15">P12+TIME(0,6,0)</f>
        <v>0.36041666666666666</v>
      </c>
      <c r="Q13" s="5">
        <f t="shared" ref="Q13:Q32" si="16">Q12+TIME(0,6,0)</f>
        <v>0.36180555555555555</v>
      </c>
      <c r="R13" s="8">
        <f t="shared" ref="R13:R32" si="17">R12+TIME(0,6,0)</f>
        <v>0.36319444444444443</v>
      </c>
    </row>
    <row r="14" spans="1:18" ht="17" x14ac:dyDescent="0.2">
      <c r="A14" s="1">
        <v>1013</v>
      </c>
      <c r="B14" s="1" t="s">
        <v>67</v>
      </c>
      <c r="C14" s="7">
        <f t="shared" si="2"/>
        <v>0.34166666666666662</v>
      </c>
      <c r="D14" s="5">
        <f t="shared" si="3"/>
        <v>0.3430555555555555</v>
      </c>
      <c r="E14" s="5">
        <f t="shared" si="4"/>
        <v>0.34444444444444444</v>
      </c>
      <c r="F14" s="5">
        <f t="shared" si="5"/>
        <v>0.34652777777777777</v>
      </c>
      <c r="G14" s="5">
        <f t="shared" si="6"/>
        <v>0.34861111111111109</v>
      </c>
      <c r="H14" s="5">
        <f t="shared" si="7"/>
        <v>0.35</v>
      </c>
      <c r="I14" s="5">
        <f t="shared" si="8"/>
        <v>0.3520833333333333</v>
      </c>
      <c r="J14" s="5">
        <f t="shared" si="9"/>
        <v>0.35416666666666663</v>
      </c>
      <c r="K14" s="5">
        <f t="shared" si="10"/>
        <v>0.3569444444444444</v>
      </c>
      <c r="L14" s="5">
        <f t="shared" si="11"/>
        <v>0.35833333333333328</v>
      </c>
      <c r="M14" s="5">
        <f t="shared" si="12"/>
        <v>0.36041666666666666</v>
      </c>
      <c r="N14" s="5">
        <f t="shared" si="13"/>
        <v>0.36180555555555555</v>
      </c>
      <c r="O14" s="5">
        <f t="shared" si="14"/>
        <v>0.36319444444444443</v>
      </c>
      <c r="P14" s="5">
        <f t="shared" si="15"/>
        <v>0.36458333333333331</v>
      </c>
      <c r="Q14" s="5">
        <f t="shared" si="16"/>
        <v>0.3659722222222222</v>
      </c>
      <c r="R14" s="8">
        <f t="shared" si="17"/>
        <v>0.36736111111111108</v>
      </c>
    </row>
    <row r="15" spans="1:18" ht="17" x14ac:dyDescent="0.2">
      <c r="A15" s="1">
        <v>1014</v>
      </c>
      <c r="B15" s="1" t="s">
        <v>67</v>
      </c>
      <c r="C15" s="7">
        <f t="shared" si="2"/>
        <v>0.34583333333333327</v>
      </c>
      <c r="D15" s="5">
        <f t="shared" si="3"/>
        <v>0.34722222222222215</v>
      </c>
      <c r="E15" s="5">
        <f t="shared" si="4"/>
        <v>0.34861111111111109</v>
      </c>
      <c r="F15" s="5">
        <f t="shared" si="5"/>
        <v>0.35069444444444442</v>
      </c>
      <c r="G15" s="5">
        <f t="shared" si="6"/>
        <v>0.35277777777777775</v>
      </c>
      <c r="H15" s="5">
        <f t="shared" si="7"/>
        <v>0.35416666666666663</v>
      </c>
      <c r="I15" s="5">
        <f t="shared" si="8"/>
        <v>0.35624999999999996</v>
      </c>
      <c r="J15" s="5">
        <f t="shared" si="9"/>
        <v>0.35833333333333328</v>
      </c>
      <c r="K15" s="5">
        <f t="shared" si="10"/>
        <v>0.36111111111111105</v>
      </c>
      <c r="L15" s="5">
        <f t="shared" si="11"/>
        <v>0.36249999999999993</v>
      </c>
      <c r="M15" s="5">
        <f t="shared" si="12"/>
        <v>0.36458333333333331</v>
      </c>
      <c r="N15" s="5">
        <f t="shared" si="13"/>
        <v>0.3659722222222222</v>
      </c>
      <c r="O15" s="5">
        <f t="shared" si="14"/>
        <v>0.36736111111111108</v>
      </c>
      <c r="P15" s="5">
        <f t="shared" si="15"/>
        <v>0.36874999999999997</v>
      </c>
      <c r="Q15" s="5">
        <f t="shared" si="16"/>
        <v>0.37013888888888885</v>
      </c>
      <c r="R15" s="8">
        <f t="shared" si="17"/>
        <v>0.37152777777777773</v>
      </c>
    </row>
    <row r="16" spans="1:18" ht="17" x14ac:dyDescent="0.2">
      <c r="A16" s="1">
        <v>1015</v>
      </c>
      <c r="B16" s="1" t="s">
        <v>67</v>
      </c>
      <c r="C16" s="7">
        <f t="shared" si="2"/>
        <v>0.34999999999999992</v>
      </c>
      <c r="D16" s="5">
        <f t="shared" si="3"/>
        <v>0.35138888888888881</v>
      </c>
      <c r="E16" s="5">
        <f t="shared" si="4"/>
        <v>0.35277777777777775</v>
      </c>
      <c r="F16" s="5">
        <f t="shared" si="5"/>
        <v>0.35486111111111107</v>
      </c>
      <c r="G16" s="5">
        <f t="shared" si="6"/>
        <v>0.3569444444444444</v>
      </c>
      <c r="H16" s="5">
        <f t="shared" si="7"/>
        <v>0.35833333333333328</v>
      </c>
      <c r="I16" s="5">
        <f t="shared" si="8"/>
        <v>0.36041666666666661</v>
      </c>
      <c r="J16" s="5">
        <f t="shared" si="9"/>
        <v>0.36249999999999993</v>
      </c>
      <c r="K16" s="5">
        <f t="shared" si="10"/>
        <v>0.3652777777777777</v>
      </c>
      <c r="L16" s="5">
        <f t="shared" si="11"/>
        <v>0.36666666666666659</v>
      </c>
      <c r="M16" s="5">
        <f t="shared" si="12"/>
        <v>0.36874999999999997</v>
      </c>
      <c r="N16" s="5">
        <f t="shared" si="13"/>
        <v>0.37013888888888885</v>
      </c>
      <c r="O16" s="5">
        <f t="shared" si="14"/>
        <v>0.37152777777777773</v>
      </c>
      <c r="P16" s="5">
        <f t="shared" si="15"/>
        <v>0.37291666666666662</v>
      </c>
      <c r="Q16" s="5">
        <f t="shared" si="16"/>
        <v>0.3743055555555555</v>
      </c>
      <c r="R16" s="8">
        <f t="shared" si="17"/>
        <v>0.37569444444444439</v>
      </c>
    </row>
    <row r="17" spans="1:18" ht="17" x14ac:dyDescent="0.2">
      <c r="A17" s="1">
        <v>1016</v>
      </c>
      <c r="B17" s="1" t="s">
        <v>67</v>
      </c>
      <c r="C17" s="7">
        <f t="shared" si="2"/>
        <v>0.35416666666666657</v>
      </c>
      <c r="D17" s="5">
        <f t="shared" si="3"/>
        <v>0.35555555555555546</v>
      </c>
      <c r="E17" s="5">
        <f t="shared" si="4"/>
        <v>0.3569444444444444</v>
      </c>
      <c r="F17" s="5">
        <f t="shared" si="5"/>
        <v>0.35902777777777772</v>
      </c>
      <c r="G17" s="5">
        <f t="shared" si="6"/>
        <v>0.36111111111111105</v>
      </c>
      <c r="H17" s="5">
        <f t="shared" si="7"/>
        <v>0.36249999999999993</v>
      </c>
      <c r="I17" s="5">
        <f t="shared" si="8"/>
        <v>0.36458333333333326</v>
      </c>
      <c r="J17" s="5">
        <f t="shared" si="9"/>
        <v>0.36666666666666659</v>
      </c>
      <c r="K17" s="5">
        <f t="shared" si="10"/>
        <v>0.36944444444444435</v>
      </c>
      <c r="L17" s="5">
        <f t="shared" si="11"/>
        <v>0.37083333333333324</v>
      </c>
      <c r="M17" s="5">
        <f t="shared" si="12"/>
        <v>0.37291666666666662</v>
      </c>
      <c r="N17" s="5">
        <f t="shared" si="13"/>
        <v>0.3743055555555555</v>
      </c>
      <c r="O17" s="5">
        <f t="shared" si="14"/>
        <v>0.37569444444444439</v>
      </c>
      <c r="P17" s="5">
        <f t="shared" si="15"/>
        <v>0.37708333333333327</v>
      </c>
      <c r="Q17" s="5">
        <f t="shared" si="16"/>
        <v>0.37847222222222215</v>
      </c>
      <c r="R17" s="8">
        <f t="shared" si="17"/>
        <v>0.37986111111111104</v>
      </c>
    </row>
    <row r="18" spans="1:18" ht="17" x14ac:dyDescent="0.2">
      <c r="A18" s="1">
        <v>1017</v>
      </c>
      <c r="B18" s="1" t="s">
        <v>67</v>
      </c>
      <c r="C18" s="7">
        <f t="shared" si="2"/>
        <v>0.35833333333333323</v>
      </c>
      <c r="D18" s="5">
        <f t="shared" si="3"/>
        <v>0.35972222222222211</v>
      </c>
      <c r="E18" s="5">
        <f t="shared" si="4"/>
        <v>0.36111111111111105</v>
      </c>
      <c r="F18" s="5">
        <f t="shared" si="5"/>
        <v>0.36319444444444438</v>
      </c>
      <c r="G18" s="5">
        <f t="shared" si="6"/>
        <v>0.3652777777777777</v>
      </c>
      <c r="H18" s="5">
        <f t="shared" si="7"/>
        <v>0.36666666666666659</v>
      </c>
      <c r="I18" s="5">
        <f t="shared" si="8"/>
        <v>0.36874999999999991</v>
      </c>
      <c r="J18" s="5">
        <f t="shared" si="9"/>
        <v>0.37083333333333324</v>
      </c>
      <c r="K18" s="5">
        <f t="shared" si="10"/>
        <v>0.37361111111111101</v>
      </c>
      <c r="L18" s="5">
        <f t="shared" si="11"/>
        <v>0.37499999999999989</v>
      </c>
      <c r="M18" s="5">
        <f t="shared" si="12"/>
        <v>0.37708333333333327</v>
      </c>
      <c r="N18" s="5">
        <f t="shared" si="13"/>
        <v>0.37847222222222215</v>
      </c>
      <c r="O18" s="5">
        <f t="shared" si="14"/>
        <v>0.37986111111111104</v>
      </c>
      <c r="P18" s="5">
        <f t="shared" si="15"/>
        <v>0.38124999999999992</v>
      </c>
      <c r="Q18" s="5">
        <f t="shared" si="16"/>
        <v>0.38263888888888881</v>
      </c>
      <c r="R18" s="8">
        <f t="shared" si="17"/>
        <v>0.38402777777777769</v>
      </c>
    </row>
    <row r="19" spans="1:18" ht="17" x14ac:dyDescent="0.2">
      <c r="A19" s="1">
        <v>1018</v>
      </c>
      <c r="B19" s="1" t="s">
        <v>67</v>
      </c>
      <c r="C19" s="7">
        <f t="shared" si="2"/>
        <v>0.36249999999999988</v>
      </c>
      <c r="D19" s="5">
        <f t="shared" si="3"/>
        <v>0.36388888888888876</v>
      </c>
      <c r="E19" s="5">
        <f t="shared" si="4"/>
        <v>0.3652777777777777</v>
      </c>
      <c r="F19" s="5">
        <f t="shared" si="5"/>
        <v>0.36736111111111103</v>
      </c>
      <c r="G19" s="5">
        <f t="shared" si="6"/>
        <v>0.36944444444444435</v>
      </c>
      <c r="H19" s="5">
        <f t="shared" si="7"/>
        <v>0.37083333333333324</v>
      </c>
      <c r="I19" s="5">
        <f t="shared" si="8"/>
        <v>0.37291666666666656</v>
      </c>
      <c r="J19" s="5">
        <f t="shared" si="9"/>
        <v>0.37499999999999989</v>
      </c>
      <c r="K19" s="5">
        <f t="shared" si="10"/>
        <v>0.37777777777777766</v>
      </c>
      <c r="L19" s="5">
        <f t="shared" si="11"/>
        <v>0.37916666666666654</v>
      </c>
      <c r="M19" s="5">
        <f t="shared" si="12"/>
        <v>0.38124999999999992</v>
      </c>
      <c r="N19" s="5">
        <f t="shared" si="13"/>
        <v>0.38263888888888881</v>
      </c>
      <c r="O19" s="5">
        <f t="shared" si="14"/>
        <v>0.38402777777777769</v>
      </c>
      <c r="P19" s="5">
        <f t="shared" si="15"/>
        <v>0.38541666666666657</v>
      </c>
      <c r="Q19" s="5">
        <f t="shared" si="16"/>
        <v>0.38680555555555546</v>
      </c>
      <c r="R19" s="8">
        <f t="shared" si="17"/>
        <v>0.38819444444444434</v>
      </c>
    </row>
    <row r="20" spans="1:18" ht="17" x14ac:dyDescent="0.2">
      <c r="A20" s="1">
        <v>1019</v>
      </c>
      <c r="B20" s="1" t="s">
        <v>67</v>
      </c>
      <c r="C20" s="7">
        <f t="shared" si="2"/>
        <v>0.36666666666666653</v>
      </c>
      <c r="D20" s="5">
        <f t="shared" si="3"/>
        <v>0.36805555555555541</v>
      </c>
      <c r="E20" s="5">
        <f t="shared" si="4"/>
        <v>0.36944444444444435</v>
      </c>
      <c r="F20" s="5">
        <f t="shared" si="5"/>
        <v>0.37152777777777768</v>
      </c>
      <c r="G20" s="5">
        <f t="shared" si="6"/>
        <v>0.37361111111111101</v>
      </c>
      <c r="H20" s="5">
        <f t="shared" si="7"/>
        <v>0.37499999999999989</v>
      </c>
      <c r="I20" s="5">
        <f t="shared" si="8"/>
        <v>0.37708333333333321</v>
      </c>
      <c r="J20" s="5">
        <f t="shared" si="9"/>
        <v>0.37916666666666654</v>
      </c>
      <c r="K20" s="5">
        <f t="shared" si="10"/>
        <v>0.38194444444444431</v>
      </c>
      <c r="L20" s="5">
        <f t="shared" si="11"/>
        <v>0.38333333333333319</v>
      </c>
      <c r="M20" s="5">
        <f t="shared" si="12"/>
        <v>0.38541666666666657</v>
      </c>
      <c r="N20" s="5">
        <f t="shared" si="13"/>
        <v>0.38680555555555546</v>
      </c>
      <c r="O20" s="5">
        <f t="shared" si="14"/>
        <v>0.38819444444444434</v>
      </c>
      <c r="P20" s="5">
        <f t="shared" si="15"/>
        <v>0.38958333333333323</v>
      </c>
      <c r="Q20" s="5">
        <f t="shared" si="16"/>
        <v>0.39097222222222211</v>
      </c>
      <c r="R20" s="8">
        <f t="shared" si="17"/>
        <v>0.39236111111111099</v>
      </c>
    </row>
    <row r="21" spans="1:18" ht="17" x14ac:dyDescent="0.2">
      <c r="A21" s="1">
        <v>1020</v>
      </c>
      <c r="B21" s="1" t="s">
        <v>67</v>
      </c>
      <c r="C21" s="7">
        <f t="shared" si="2"/>
        <v>0.37083333333333318</v>
      </c>
      <c r="D21" s="5">
        <f t="shared" si="3"/>
        <v>0.37222222222222207</v>
      </c>
      <c r="E21" s="5">
        <f t="shared" si="4"/>
        <v>0.37361111111111101</v>
      </c>
      <c r="F21" s="5">
        <f t="shared" si="5"/>
        <v>0.37569444444444433</v>
      </c>
      <c r="G21" s="5">
        <f t="shared" si="6"/>
        <v>0.37777777777777766</v>
      </c>
      <c r="H21" s="5">
        <f t="shared" si="7"/>
        <v>0.37916666666666654</v>
      </c>
      <c r="I21" s="5">
        <f t="shared" si="8"/>
        <v>0.38124999999999987</v>
      </c>
      <c r="J21" s="5">
        <f t="shared" si="9"/>
        <v>0.38333333333333319</v>
      </c>
      <c r="K21" s="5">
        <f t="shared" si="10"/>
        <v>0.38611111111111096</v>
      </c>
      <c r="L21" s="5">
        <f t="shared" si="11"/>
        <v>0.38749999999999984</v>
      </c>
      <c r="M21" s="5">
        <f t="shared" si="12"/>
        <v>0.38958333333333323</v>
      </c>
      <c r="N21" s="5">
        <f t="shared" si="13"/>
        <v>0.39097222222222211</v>
      </c>
      <c r="O21" s="5">
        <f t="shared" si="14"/>
        <v>0.39236111111111099</v>
      </c>
      <c r="P21" s="5">
        <f t="shared" si="15"/>
        <v>0.39374999999999988</v>
      </c>
      <c r="Q21" s="5">
        <f t="shared" si="16"/>
        <v>0.39513888888888876</v>
      </c>
      <c r="R21" s="8">
        <f t="shared" si="17"/>
        <v>0.39652777777777765</v>
      </c>
    </row>
    <row r="22" spans="1:18" ht="17" x14ac:dyDescent="0.2">
      <c r="A22" s="1">
        <v>1021</v>
      </c>
      <c r="B22" s="1" t="s">
        <v>67</v>
      </c>
      <c r="C22" s="7">
        <f t="shared" si="2"/>
        <v>0.37499999999999983</v>
      </c>
      <c r="D22" s="5">
        <f t="shared" si="3"/>
        <v>0.37638888888888872</v>
      </c>
      <c r="E22" s="5">
        <f t="shared" si="4"/>
        <v>0.37777777777777766</v>
      </c>
      <c r="F22" s="5">
        <f t="shared" si="5"/>
        <v>0.37986111111111098</v>
      </c>
      <c r="G22" s="5">
        <f t="shared" si="6"/>
        <v>0.38194444444444431</v>
      </c>
      <c r="H22" s="5">
        <f t="shared" si="7"/>
        <v>0.38333333333333319</v>
      </c>
      <c r="I22" s="5">
        <f t="shared" si="8"/>
        <v>0.38541666666666652</v>
      </c>
      <c r="J22" s="5">
        <f t="shared" si="9"/>
        <v>0.38749999999999984</v>
      </c>
      <c r="K22" s="5">
        <f t="shared" si="10"/>
        <v>0.39027777777777761</v>
      </c>
      <c r="L22" s="5">
        <f t="shared" si="11"/>
        <v>0.3916666666666665</v>
      </c>
      <c r="M22" s="5">
        <f t="shared" si="12"/>
        <v>0.39374999999999988</v>
      </c>
      <c r="N22" s="5">
        <f t="shared" si="13"/>
        <v>0.39513888888888876</v>
      </c>
      <c r="O22" s="5">
        <f t="shared" si="14"/>
        <v>0.39652777777777765</v>
      </c>
      <c r="P22" s="5">
        <f t="shared" si="15"/>
        <v>0.39791666666666653</v>
      </c>
      <c r="Q22" s="5">
        <f t="shared" si="16"/>
        <v>0.39930555555555541</v>
      </c>
      <c r="R22" s="8">
        <f t="shared" si="17"/>
        <v>0.4006944444444443</v>
      </c>
    </row>
    <row r="23" spans="1:18" ht="17" x14ac:dyDescent="0.2">
      <c r="A23" s="1">
        <v>1022</v>
      </c>
      <c r="B23" s="1" t="s">
        <v>67</v>
      </c>
      <c r="C23" s="7">
        <f t="shared" si="2"/>
        <v>0.37916666666666649</v>
      </c>
      <c r="D23" s="5">
        <f t="shared" si="3"/>
        <v>0.38055555555555537</v>
      </c>
      <c r="E23" s="5">
        <f t="shared" si="4"/>
        <v>0.38194444444444431</v>
      </c>
      <c r="F23" s="5">
        <f t="shared" si="5"/>
        <v>0.38402777777777763</v>
      </c>
      <c r="G23" s="5">
        <f t="shared" si="6"/>
        <v>0.38611111111111096</v>
      </c>
      <c r="H23" s="5">
        <f t="shared" si="7"/>
        <v>0.38749999999999984</v>
      </c>
      <c r="I23" s="5">
        <f t="shared" si="8"/>
        <v>0.38958333333333317</v>
      </c>
      <c r="J23" s="5">
        <f t="shared" si="9"/>
        <v>0.3916666666666665</v>
      </c>
      <c r="K23" s="5">
        <f t="shared" si="10"/>
        <v>0.39444444444444426</v>
      </c>
      <c r="L23" s="5">
        <f t="shared" si="11"/>
        <v>0.39583333333333315</v>
      </c>
      <c r="M23" s="5">
        <f t="shared" si="12"/>
        <v>0.39791666666666653</v>
      </c>
      <c r="N23" s="5">
        <f t="shared" si="13"/>
        <v>0.39930555555555541</v>
      </c>
      <c r="O23" s="5">
        <f t="shared" si="14"/>
        <v>0.4006944444444443</v>
      </c>
      <c r="P23" s="5">
        <f t="shared" si="15"/>
        <v>0.40208333333333318</v>
      </c>
      <c r="Q23" s="5">
        <f t="shared" si="16"/>
        <v>0.40347222222222207</v>
      </c>
      <c r="R23" s="8">
        <f t="shared" si="17"/>
        <v>0.40486111111111095</v>
      </c>
    </row>
    <row r="24" spans="1:18" ht="17" x14ac:dyDescent="0.2">
      <c r="A24" s="1">
        <v>1023</v>
      </c>
      <c r="B24" s="6" t="s">
        <v>67</v>
      </c>
      <c r="C24" s="7">
        <f t="shared" si="2"/>
        <v>0.38333333333333314</v>
      </c>
      <c r="D24" s="5">
        <f t="shared" si="3"/>
        <v>0.38472222222222202</v>
      </c>
      <c r="E24" s="5">
        <f t="shared" si="4"/>
        <v>0.38611111111111096</v>
      </c>
      <c r="F24" s="5">
        <f t="shared" si="5"/>
        <v>0.38819444444444429</v>
      </c>
      <c r="G24" s="5">
        <f t="shared" si="6"/>
        <v>0.39027777777777761</v>
      </c>
      <c r="H24" s="5">
        <f t="shared" si="7"/>
        <v>0.3916666666666665</v>
      </c>
      <c r="I24" s="5">
        <f t="shared" si="8"/>
        <v>0.39374999999999982</v>
      </c>
      <c r="J24" s="5">
        <f t="shared" si="9"/>
        <v>0.39583333333333315</v>
      </c>
      <c r="K24" s="5">
        <f t="shared" si="10"/>
        <v>0.39861111111111092</v>
      </c>
      <c r="L24" s="5">
        <f t="shared" si="11"/>
        <v>0.3999999999999998</v>
      </c>
      <c r="M24" s="5">
        <f t="shared" si="12"/>
        <v>0.40208333333333318</v>
      </c>
      <c r="N24" s="5">
        <f t="shared" si="13"/>
        <v>0.40347222222222207</v>
      </c>
      <c r="O24" s="5">
        <f t="shared" si="14"/>
        <v>0.40486111111111095</v>
      </c>
      <c r="P24" s="5">
        <f t="shared" si="15"/>
        <v>0.40624999999999983</v>
      </c>
      <c r="Q24" s="5">
        <f t="shared" si="16"/>
        <v>0.40763888888888872</v>
      </c>
      <c r="R24" s="8">
        <f t="shared" si="17"/>
        <v>0.4090277777777776</v>
      </c>
    </row>
    <row r="25" spans="1:18" ht="17" x14ac:dyDescent="0.2">
      <c r="A25" s="1">
        <v>1024</v>
      </c>
      <c r="B25" s="6" t="s">
        <v>67</v>
      </c>
      <c r="C25" s="7">
        <f t="shared" si="2"/>
        <v>0.38749999999999979</v>
      </c>
      <c r="D25" s="5">
        <f t="shared" si="3"/>
        <v>0.38888888888888867</v>
      </c>
      <c r="E25" s="5">
        <f t="shared" si="4"/>
        <v>0.39027777777777761</v>
      </c>
      <c r="F25" s="5">
        <f t="shared" si="5"/>
        <v>0.39236111111111094</v>
      </c>
      <c r="G25" s="5">
        <f t="shared" si="6"/>
        <v>0.39444444444444426</v>
      </c>
      <c r="H25" s="5">
        <f t="shared" si="7"/>
        <v>0.39583333333333315</v>
      </c>
      <c r="I25" s="5">
        <f t="shared" si="8"/>
        <v>0.39791666666666647</v>
      </c>
      <c r="J25" s="5">
        <f t="shared" si="9"/>
        <v>0.3999999999999998</v>
      </c>
      <c r="K25" s="5">
        <f t="shared" si="10"/>
        <v>0.40277777777777757</v>
      </c>
      <c r="L25" s="5">
        <f t="shared" si="11"/>
        <v>0.40416666666666645</v>
      </c>
      <c r="M25" s="5">
        <f t="shared" si="12"/>
        <v>0.40624999999999983</v>
      </c>
      <c r="N25" s="5">
        <f t="shared" si="13"/>
        <v>0.40763888888888872</v>
      </c>
      <c r="O25" s="5">
        <f t="shared" si="14"/>
        <v>0.4090277777777776</v>
      </c>
      <c r="P25" s="5">
        <f t="shared" si="15"/>
        <v>0.41041666666666649</v>
      </c>
      <c r="Q25" s="5">
        <f t="shared" si="16"/>
        <v>0.41180555555555537</v>
      </c>
      <c r="R25" s="8">
        <f t="shared" si="17"/>
        <v>0.41319444444444425</v>
      </c>
    </row>
    <row r="26" spans="1:18" ht="17" x14ac:dyDescent="0.2">
      <c r="A26" s="1">
        <v>1025</v>
      </c>
      <c r="B26" s="6" t="s">
        <v>67</v>
      </c>
      <c r="C26" s="7">
        <f t="shared" si="2"/>
        <v>0.39166666666666644</v>
      </c>
      <c r="D26" s="5">
        <f t="shared" si="3"/>
        <v>0.39305555555555532</v>
      </c>
      <c r="E26" s="5">
        <f t="shared" si="4"/>
        <v>0.39444444444444426</v>
      </c>
      <c r="F26" s="5">
        <f t="shared" si="5"/>
        <v>0.39652777777777759</v>
      </c>
      <c r="G26" s="5">
        <f t="shared" si="6"/>
        <v>0.39861111111111092</v>
      </c>
      <c r="H26" s="5">
        <f t="shared" si="7"/>
        <v>0.3999999999999998</v>
      </c>
      <c r="I26" s="5">
        <f t="shared" si="8"/>
        <v>0.40208333333333313</v>
      </c>
      <c r="J26" s="5">
        <f t="shared" si="9"/>
        <v>0.40416666666666645</v>
      </c>
      <c r="K26" s="5">
        <f t="shared" si="10"/>
        <v>0.40694444444444422</v>
      </c>
      <c r="L26" s="5">
        <f t="shared" si="11"/>
        <v>0.4083333333333331</v>
      </c>
      <c r="M26" s="5">
        <f t="shared" si="12"/>
        <v>0.41041666666666649</v>
      </c>
      <c r="N26" s="5">
        <f t="shared" si="13"/>
        <v>0.41180555555555537</v>
      </c>
      <c r="O26" s="5">
        <f t="shared" si="14"/>
        <v>0.41319444444444425</v>
      </c>
      <c r="P26" s="5">
        <f t="shared" si="15"/>
        <v>0.41458333333333314</v>
      </c>
      <c r="Q26" s="5">
        <f t="shared" si="16"/>
        <v>0.41597222222222202</v>
      </c>
      <c r="R26" s="8">
        <f t="shared" si="17"/>
        <v>0.41736111111111091</v>
      </c>
    </row>
    <row r="27" spans="1:18" ht="17" x14ac:dyDescent="0.2">
      <c r="A27" s="1">
        <v>1026</v>
      </c>
      <c r="B27" s="6" t="s">
        <v>67</v>
      </c>
      <c r="C27" s="7">
        <f t="shared" si="2"/>
        <v>0.39583333333333309</v>
      </c>
      <c r="D27" s="5">
        <f t="shared" si="3"/>
        <v>0.39722222222222198</v>
      </c>
      <c r="E27" s="5">
        <f t="shared" si="4"/>
        <v>0.39861111111111092</v>
      </c>
      <c r="F27" s="5">
        <f t="shared" si="5"/>
        <v>0.40069444444444424</v>
      </c>
      <c r="G27" s="5">
        <f t="shared" si="6"/>
        <v>0.40277777777777757</v>
      </c>
      <c r="H27" s="5">
        <f t="shared" si="7"/>
        <v>0.40416666666666645</v>
      </c>
      <c r="I27" s="5">
        <f t="shared" si="8"/>
        <v>0.40624999999999978</v>
      </c>
      <c r="J27" s="5">
        <f t="shared" si="9"/>
        <v>0.4083333333333331</v>
      </c>
      <c r="K27" s="5">
        <f t="shared" si="10"/>
        <v>0.41111111111111087</v>
      </c>
      <c r="L27" s="5">
        <f t="shared" si="11"/>
        <v>0.41249999999999976</v>
      </c>
      <c r="M27" s="5">
        <f t="shared" si="12"/>
        <v>0.41458333333333314</v>
      </c>
      <c r="N27" s="5">
        <f t="shared" si="13"/>
        <v>0.41597222222222202</v>
      </c>
      <c r="O27" s="5">
        <f t="shared" si="14"/>
        <v>0.41736111111111091</v>
      </c>
      <c r="P27" s="5">
        <f t="shared" si="15"/>
        <v>0.41874999999999979</v>
      </c>
      <c r="Q27" s="5">
        <f t="shared" si="16"/>
        <v>0.42013888888888867</v>
      </c>
      <c r="R27" s="8">
        <f t="shared" si="17"/>
        <v>0.42152777777777756</v>
      </c>
    </row>
    <row r="28" spans="1:18" ht="17" x14ac:dyDescent="0.2">
      <c r="A28" s="1">
        <v>1027</v>
      </c>
      <c r="B28" s="6" t="s">
        <v>67</v>
      </c>
      <c r="C28" s="7">
        <f t="shared" si="2"/>
        <v>0.39999999999999974</v>
      </c>
      <c r="D28" s="5">
        <f t="shared" si="3"/>
        <v>0.40138888888888863</v>
      </c>
      <c r="E28" s="5">
        <f t="shared" si="4"/>
        <v>0.40277777777777757</v>
      </c>
      <c r="F28" s="5">
        <f t="shared" si="5"/>
        <v>0.40486111111111089</v>
      </c>
      <c r="G28" s="5">
        <f t="shared" si="6"/>
        <v>0.40694444444444422</v>
      </c>
      <c r="H28" s="5">
        <f t="shared" si="7"/>
        <v>0.4083333333333331</v>
      </c>
      <c r="I28" s="5">
        <f t="shared" si="8"/>
        <v>0.41041666666666643</v>
      </c>
      <c r="J28" s="5">
        <f t="shared" si="9"/>
        <v>0.41249999999999976</v>
      </c>
      <c r="K28" s="5">
        <f t="shared" si="10"/>
        <v>0.41527777777777752</v>
      </c>
      <c r="L28" s="5">
        <f t="shared" si="11"/>
        <v>0.41666666666666641</v>
      </c>
      <c r="M28" s="5">
        <f t="shared" si="12"/>
        <v>0.41874999999999979</v>
      </c>
      <c r="N28" s="5">
        <f t="shared" si="13"/>
        <v>0.42013888888888867</v>
      </c>
      <c r="O28" s="5">
        <f t="shared" si="14"/>
        <v>0.42152777777777756</v>
      </c>
      <c r="P28" s="5">
        <f t="shared" si="15"/>
        <v>0.42291666666666644</v>
      </c>
      <c r="Q28" s="5">
        <f t="shared" si="16"/>
        <v>0.42430555555555532</v>
      </c>
      <c r="R28" s="8">
        <f t="shared" si="17"/>
        <v>0.42569444444444421</v>
      </c>
    </row>
    <row r="29" spans="1:18" ht="17" x14ac:dyDescent="0.2">
      <c r="A29" s="1">
        <v>1028</v>
      </c>
      <c r="B29" s="6" t="s">
        <v>67</v>
      </c>
      <c r="C29" s="7">
        <f t="shared" ref="C29" si="18">C28+TIME(0,6,0)</f>
        <v>0.4041666666666664</v>
      </c>
      <c r="D29" s="5">
        <f t="shared" si="3"/>
        <v>0.40555555555555528</v>
      </c>
      <c r="E29" s="5">
        <f t="shared" si="4"/>
        <v>0.40694444444444422</v>
      </c>
      <c r="F29" s="5">
        <f t="shared" si="5"/>
        <v>0.40902777777777755</v>
      </c>
      <c r="G29" s="5">
        <f t="shared" si="6"/>
        <v>0.41111111111111087</v>
      </c>
      <c r="H29" s="5">
        <f t="shared" si="7"/>
        <v>0.41249999999999976</v>
      </c>
      <c r="I29" s="5">
        <f t="shared" si="8"/>
        <v>0.41458333333333308</v>
      </c>
      <c r="J29" s="5">
        <f t="shared" si="9"/>
        <v>0.41666666666666641</v>
      </c>
      <c r="K29" s="5">
        <f t="shared" si="10"/>
        <v>0.41944444444444418</v>
      </c>
      <c r="L29" s="5">
        <f t="shared" si="11"/>
        <v>0.42083333333333306</v>
      </c>
      <c r="M29" s="5">
        <f t="shared" si="12"/>
        <v>0.42291666666666644</v>
      </c>
      <c r="N29" s="5">
        <f t="shared" si="13"/>
        <v>0.42430555555555532</v>
      </c>
      <c r="O29" s="5">
        <f t="shared" si="14"/>
        <v>0.42569444444444421</v>
      </c>
      <c r="P29" s="5">
        <f t="shared" si="15"/>
        <v>0.42708333333333309</v>
      </c>
      <c r="Q29" s="5">
        <f t="shared" si="16"/>
        <v>0.42847222222222198</v>
      </c>
      <c r="R29" s="8">
        <f t="shared" si="17"/>
        <v>0.42986111111111086</v>
      </c>
    </row>
    <row r="30" spans="1:18" ht="17" x14ac:dyDescent="0.2">
      <c r="A30" s="1">
        <v>1029</v>
      </c>
      <c r="B30" s="6" t="s">
        <v>67</v>
      </c>
      <c r="C30" s="7">
        <f t="shared" ref="C30:C32" si="19">C29+TIME(0,6,0)</f>
        <v>0.40833333333333305</v>
      </c>
      <c r="D30" s="5">
        <f t="shared" si="3"/>
        <v>0.40972222222222193</v>
      </c>
      <c r="E30" s="5">
        <f t="shared" si="4"/>
        <v>0.41111111111111087</v>
      </c>
      <c r="F30" s="5">
        <f t="shared" si="5"/>
        <v>0.4131944444444442</v>
      </c>
      <c r="G30" s="5">
        <f t="shared" si="6"/>
        <v>0.41527777777777752</v>
      </c>
      <c r="H30" s="5">
        <f t="shared" si="7"/>
        <v>0.41666666666666641</v>
      </c>
      <c r="I30" s="5">
        <f t="shared" si="8"/>
        <v>0.41874999999999973</v>
      </c>
      <c r="J30" s="5">
        <f t="shared" si="9"/>
        <v>0.42083333333333306</v>
      </c>
      <c r="K30" s="5">
        <f t="shared" si="10"/>
        <v>0.42361111111111083</v>
      </c>
      <c r="L30" s="5">
        <f t="shared" si="11"/>
        <v>0.42499999999999971</v>
      </c>
      <c r="M30" s="5">
        <f t="shared" si="12"/>
        <v>0.42708333333333309</v>
      </c>
      <c r="N30" s="5">
        <f t="shared" si="13"/>
        <v>0.42847222222222198</v>
      </c>
      <c r="O30" s="5">
        <f t="shared" si="14"/>
        <v>0.42986111111111086</v>
      </c>
      <c r="P30" s="5">
        <f t="shared" si="15"/>
        <v>0.43124999999999974</v>
      </c>
      <c r="Q30" s="5">
        <f t="shared" si="16"/>
        <v>0.43263888888888863</v>
      </c>
      <c r="R30" s="8">
        <f t="shared" si="17"/>
        <v>0.43402777777777751</v>
      </c>
    </row>
    <row r="31" spans="1:18" ht="17" x14ac:dyDescent="0.2">
      <c r="A31" s="1">
        <v>1030</v>
      </c>
      <c r="B31" s="6" t="s">
        <v>67</v>
      </c>
      <c r="C31" s="7">
        <f t="shared" si="19"/>
        <v>0.4124999999999997</v>
      </c>
      <c r="D31" s="5">
        <f t="shared" si="3"/>
        <v>0.41388888888888858</v>
      </c>
      <c r="E31" s="5">
        <f t="shared" si="4"/>
        <v>0.41527777777777752</v>
      </c>
      <c r="F31" s="5">
        <f t="shared" si="5"/>
        <v>0.41736111111111085</v>
      </c>
      <c r="G31" s="5">
        <f t="shared" si="6"/>
        <v>0.41944444444444418</v>
      </c>
      <c r="H31" s="5">
        <f t="shared" si="7"/>
        <v>0.42083333333333306</v>
      </c>
      <c r="I31" s="5">
        <f t="shared" si="8"/>
        <v>0.42291666666666639</v>
      </c>
      <c r="J31" s="5">
        <f t="shared" si="9"/>
        <v>0.42499999999999971</v>
      </c>
      <c r="K31" s="5">
        <f t="shared" si="10"/>
        <v>0.42777777777777748</v>
      </c>
      <c r="L31" s="5">
        <f t="shared" si="11"/>
        <v>0.42916666666666636</v>
      </c>
      <c r="M31" s="5">
        <f t="shared" si="12"/>
        <v>0.43124999999999974</v>
      </c>
      <c r="N31" s="5">
        <f t="shared" si="13"/>
        <v>0.43263888888888863</v>
      </c>
      <c r="O31" s="5">
        <f t="shared" si="14"/>
        <v>0.43402777777777751</v>
      </c>
      <c r="P31" s="5">
        <f t="shared" si="15"/>
        <v>0.4354166666666664</v>
      </c>
      <c r="Q31" s="5">
        <f t="shared" si="16"/>
        <v>0.43680555555555528</v>
      </c>
      <c r="R31" s="8">
        <f t="shared" si="17"/>
        <v>0.43819444444444416</v>
      </c>
    </row>
    <row r="32" spans="1:18" ht="17" x14ac:dyDescent="0.2">
      <c r="A32" s="1">
        <v>1031</v>
      </c>
      <c r="B32" s="6" t="s">
        <v>67</v>
      </c>
      <c r="C32" s="7">
        <f t="shared" si="19"/>
        <v>0.41666666666666635</v>
      </c>
      <c r="D32" s="5">
        <f t="shared" si="3"/>
        <v>0.41805555555555524</v>
      </c>
      <c r="E32" s="5">
        <f t="shared" si="4"/>
        <v>0.41944444444444418</v>
      </c>
      <c r="F32" s="5">
        <f t="shared" si="5"/>
        <v>0.4215277777777775</v>
      </c>
      <c r="G32" s="5">
        <f t="shared" si="6"/>
        <v>0.42361111111111083</v>
      </c>
      <c r="H32" s="5">
        <f t="shared" si="7"/>
        <v>0.42499999999999971</v>
      </c>
      <c r="I32" s="5">
        <f t="shared" si="8"/>
        <v>0.42708333333333304</v>
      </c>
      <c r="J32" s="5">
        <f t="shared" si="9"/>
        <v>0.42916666666666636</v>
      </c>
      <c r="K32" s="5">
        <f t="shared" si="10"/>
        <v>0.43194444444444413</v>
      </c>
      <c r="L32" s="5">
        <f t="shared" si="11"/>
        <v>0.43333333333333302</v>
      </c>
      <c r="M32" s="5">
        <f t="shared" si="12"/>
        <v>0.4354166666666664</v>
      </c>
      <c r="N32" s="5">
        <f t="shared" si="13"/>
        <v>0.43680555555555528</v>
      </c>
      <c r="O32" s="5">
        <f t="shared" si="14"/>
        <v>0.43819444444444416</v>
      </c>
      <c r="P32" s="5">
        <f t="shared" si="15"/>
        <v>0.43958333333333305</v>
      </c>
      <c r="Q32" s="5">
        <f t="shared" si="16"/>
        <v>0.44097222222222193</v>
      </c>
      <c r="R32" s="8">
        <f t="shared" si="17"/>
        <v>0.44236111111111082</v>
      </c>
    </row>
    <row r="33" spans="1:18" ht="17" x14ac:dyDescent="0.2">
      <c r="A33" s="1">
        <v>2001</v>
      </c>
      <c r="B33" s="6" t="s">
        <v>68</v>
      </c>
      <c r="C33" s="9">
        <v>0.35902777777777778</v>
      </c>
      <c r="D33" s="5">
        <v>0.3576388888888889</v>
      </c>
      <c r="E33" s="5">
        <v>0.35625000000000001</v>
      </c>
      <c r="F33" s="5">
        <v>0.35416666666666669</v>
      </c>
      <c r="G33" s="5">
        <v>0.35208333333333336</v>
      </c>
      <c r="H33" s="5">
        <v>0.35069444444444442</v>
      </c>
      <c r="I33" s="5">
        <v>0.34861111111111109</v>
      </c>
      <c r="J33" s="5">
        <v>0.34652777777777777</v>
      </c>
      <c r="K33" s="5">
        <v>0.34375</v>
      </c>
      <c r="L33" s="5">
        <v>0.34236111111111112</v>
      </c>
      <c r="M33" s="5">
        <v>0.34027777777777779</v>
      </c>
      <c r="N33" s="5">
        <v>0.33888888888888891</v>
      </c>
      <c r="O33" s="5">
        <v>0.33750000000000002</v>
      </c>
      <c r="P33" s="5">
        <v>0.33611111111111114</v>
      </c>
      <c r="Q33" s="5">
        <v>0.3347222222222222</v>
      </c>
      <c r="R33" s="7">
        <v>0.33333333333333331</v>
      </c>
    </row>
    <row r="34" spans="1:18" ht="17" x14ac:dyDescent="0.2">
      <c r="A34" s="1">
        <v>2002</v>
      </c>
      <c r="B34" s="6" t="s">
        <v>68</v>
      </c>
      <c r="C34" s="9">
        <f t="shared" ref="C34:C56" si="20">C33+TIME(0,6,0)</f>
        <v>0.36319444444444443</v>
      </c>
      <c r="D34" s="5">
        <f t="shared" ref="D34:D56" si="21">D33+TIME(0,6,0)</f>
        <v>0.36180555555555555</v>
      </c>
      <c r="E34" s="5">
        <f t="shared" ref="E34:E56" si="22">E33+TIME(0,6,0)</f>
        <v>0.36041666666666666</v>
      </c>
      <c r="F34" s="5">
        <f t="shared" ref="F34:F56" si="23">F33+TIME(0,6,0)</f>
        <v>0.35833333333333334</v>
      </c>
      <c r="G34" s="5">
        <f t="shared" ref="G34:G56" si="24">G33+TIME(0,6,0)</f>
        <v>0.35625000000000001</v>
      </c>
      <c r="H34" s="5">
        <f t="shared" ref="H34:H56" si="25">H33+TIME(0,6,0)</f>
        <v>0.35486111111111107</v>
      </c>
      <c r="I34" s="5">
        <f t="shared" ref="I34:I56" si="26">I33+TIME(0,6,0)</f>
        <v>0.35277777777777775</v>
      </c>
      <c r="J34" s="5">
        <f t="shared" ref="J34:J56" si="27">J33+TIME(0,6,0)</f>
        <v>0.35069444444444442</v>
      </c>
      <c r="K34" s="5">
        <f t="shared" ref="K34:K56" si="28">K33+TIME(0,6,0)</f>
        <v>0.34791666666666665</v>
      </c>
      <c r="L34" s="5">
        <f t="shared" ref="L34:L56" si="29">L33+TIME(0,6,0)</f>
        <v>0.34652777777777777</v>
      </c>
      <c r="M34" s="5">
        <f t="shared" ref="M34:M56" si="30">M33+TIME(0,6,0)</f>
        <v>0.34444444444444444</v>
      </c>
      <c r="N34" s="5">
        <f t="shared" ref="N34:N56" si="31">N33+TIME(0,6,0)</f>
        <v>0.34305555555555556</v>
      </c>
      <c r="O34" s="5">
        <f t="shared" ref="O34:O56" si="32">O33+TIME(0,6,0)</f>
        <v>0.34166666666666667</v>
      </c>
      <c r="P34" s="5">
        <f t="shared" ref="P34:P56" si="33">P33+TIME(0,6,0)</f>
        <v>0.34027777777777779</v>
      </c>
      <c r="Q34" s="5">
        <f t="shared" ref="Q34:Q56" si="34">Q33+TIME(0,6,0)</f>
        <v>0.33888888888888885</v>
      </c>
      <c r="R34" s="7">
        <f t="shared" ref="R34:R56" si="35">R33+TIME(0,6,0)</f>
        <v>0.33749999999999997</v>
      </c>
    </row>
    <row r="35" spans="1:18" ht="17" x14ac:dyDescent="0.2">
      <c r="A35" s="1">
        <v>2003</v>
      </c>
      <c r="B35" s="6" t="s">
        <v>68</v>
      </c>
      <c r="C35" s="9">
        <f t="shared" si="20"/>
        <v>0.36736111111111108</v>
      </c>
      <c r="D35" s="5">
        <f t="shared" si="21"/>
        <v>0.3659722222222222</v>
      </c>
      <c r="E35" s="5">
        <f t="shared" si="22"/>
        <v>0.36458333333333331</v>
      </c>
      <c r="F35" s="5">
        <f t="shared" si="23"/>
        <v>0.36249999999999999</v>
      </c>
      <c r="G35" s="5">
        <f t="shared" si="24"/>
        <v>0.36041666666666666</v>
      </c>
      <c r="H35" s="5">
        <f t="shared" si="25"/>
        <v>0.35902777777777772</v>
      </c>
      <c r="I35" s="5">
        <f t="shared" si="26"/>
        <v>0.3569444444444444</v>
      </c>
      <c r="J35" s="5">
        <f t="shared" si="27"/>
        <v>0.35486111111111107</v>
      </c>
      <c r="K35" s="5">
        <f t="shared" si="28"/>
        <v>0.3520833333333333</v>
      </c>
      <c r="L35" s="5">
        <f t="shared" si="29"/>
        <v>0.35069444444444442</v>
      </c>
      <c r="M35" s="5">
        <f t="shared" si="30"/>
        <v>0.34861111111111109</v>
      </c>
      <c r="N35" s="5">
        <f t="shared" si="31"/>
        <v>0.34722222222222221</v>
      </c>
      <c r="O35" s="5">
        <f t="shared" si="32"/>
        <v>0.34583333333333333</v>
      </c>
      <c r="P35" s="5">
        <f t="shared" si="33"/>
        <v>0.34444444444444444</v>
      </c>
      <c r="Q35" s="5">
        <f t="shared" si="34"/>
        <v>0.3430555555555555</v>
      </c>
      <c r="R35" s="7">
        <f t="shared" si="35"/>
        <v>0.34166666666666662</v>
      </c>
    </row>
    <row r="36" spans="1:18" ht="17" x14ac:dyDescent="0.2">
      <c r="A36" s="1">
        <v>2004</v>
      </c>
      <c r="B36" s="6" t="s">
        <v>68</v>
      </c>
      <c r="C36" s="9">
        <f t="shared" si="20"/>
        <v>0.37152777777777773</v>
      </c>
      <c r="D36" s="5">
        <f t="shared" si="21"/>
        <v>0.37013888888888885</v>
      </c>
      <c r="E36" s="5">
        <f t="shared" si="22"/>
        <v>0.36874999999999997</v>
      </c>
      <c r="F36" s="5">
        <f t="shared" si="23"/>
        <v>0.36666666666666664</v>
      </c>
      <c r="G36" s="5">
        <f t="shared" si="24"/>
        <v>0.36458333333333331</v>
      </c>
      <c r="H36" s="5">
        <f t="shared" si="25"/>
        <v>0.36319444444444438</v>
      </c>
      <c r="I36" s="5">
        <f t="shared" si="26"/>
        <v>0.36111111111111105</v>
      </c>
      <c r="J36" s="5">
        <f t="shared" si="27"/>
        <v>0.35902777777777772</v>
      </c>
      <c r="K36" s="5">
        <f t="shared" si="28"/>
        <v>0.35624999999999996</v>
      </c>
      <c r="L36" s="5">
        <f t="shared" si="29"/>
        <v>0.35486111111111107</v>
      </c>
      <c r="M36" s="5">
        <f t="shared" si="30"/>
        <v>0.35277777777777775</v>
      </c>
      <c r="N36" s="5">
        <f t="shared" si="31"/>
        <v>0.35138888888888886</v>
      </c>
      <c r="O36" s="5">
        <f t="shared" si="32"/>
        <v>0.35</v>
      </c>
      <c r="P36" s="5">
        <f t="shared" si="33"/>
        <v>0.34861111111111109</v>
      </c>
      <c r="Q36" s="5">
        <f t="shared" si="34"/>
        <v>0.34722222222222215</v>
      </c>
      <c r="R36" s="7">
        <f t="shared" si="35"/>
        <v>0.34583333333333327</v>
      </c>
    </row>
    <row r="37" spans="1:18" ht="17" x14ac:dyDescent="0.2">
      <c r="A37" s="1">
        <v>2005</v>
      </c>
      <c r="B37" s="6" t="s">
        <v>68</v>
      </c>
      <c r="C37" s="9">
        <f t="shared" si="20"/>
        <v>0.37569444444444439</v>
      </c>
      <c r="D37" s="5">
        <f t="shared" si="21"/>
        <v>0.3743055555555555</v>
      </c>
      <c r="E37" s="5">
        <f t="shared" si="22"/>
        <v>0.37291666666666662</v>
      </c>
      <c r="F37" s="5">
        <f t="shared" si="23"/>
        <v>0.37083333333333329</v>
      </c>
      <c r="G37" s="5">
        <f t="shared" si="24"/>
        <v>0.36874999999999997</v>
      </c>
      <c r="H37" s="5">
        <f t="shared" si="25"/>
        <v>0.36736111111111103</v>
      </c>
      <c r="I37" s="5">
        <f t="shared" si="26"/>
        <v>0.3652777777777777</v>
      </c>
      <c r="J37" s="5">
        <f t="shared" si="27"/>
        <v>0.36319444444444438</v>
      </c>
      <c r="K37" s="5">
        <f t="shared" si="28"/>
        <v>0.36041666666666661</v>
      </c>
      <c r="L37" s="5">
        <f t="shared" si="29"/>
        <v>0.35902777777777772</v>
      </c>
      <c r="M37" s="5">
        <f t="shared" si="30"/>
        <v>0.3569444444444444</v>
      </c>
      <c r="N37" s="5">
        <f t="shared" si="31"/>
        <v>0.35555555555555551</v>
      </c>
      <c r="O37" s="5">
        <f t="shared" si="32"/>
        <v>0.35416666666666663</v>
      </c>
      <c r="P37" s="5">
        <f t="shared" si="33"/>
        <v>0.35277777777777775</v>
      </c>
      <c r="Q37" s="5">
        <f t="shared" si="34"/>
        <v>0.35138888888888881</v>
      </c>
      <c r="R37" s="7">
        <f t="shared" si="35"/>
        <v>0.34999999999999992</v>
      </c>
    </row>
    <row r="38" spans="1:18" ht="17" x14ac:dyDescent="0.2">
      <c r="A38" s="1">
        <v>2006</v>
      </c>
      <c r="B38" s="6" t="s">
        <v>68</v>
      </c>
      <c r="C38" s="9">
        <f t="shared" si="20"/>
        <v>0.37986111111111104</v>
      </c>
      <c r="D38" s="5">
        <f t="shared" si="21"/>
        <v>0.37847222222222215</v>
      </c>
      <c r="E38" s="5">
        <f t="shared" si="22"/>
        <v>0.37708333333333327</v>
      </c>
      <c r="F38" s="5">
        <f t="shared" si="23"/>
        <v>0.37499999999999994</v>
      </c>
      <c r="G38" s="5">
        <f t="shared" si="24"/>
        <v>0.37291666666666662</v>
      </c>
      <c r="H38" s="5">
        <f t="shared" si="25"/>
        <v>0.37152777777777768</v>
      </c>
      <c r="I38" s="5">
        <f t="shared" si="26"/>
        <v>0.36944444444444435</v>
      </c>
      <c r="J38" s="5">
        <f t="shared" si="27"/>
        <v>0.36736111111111103</v>
      </c>
      <c r="K38" s="5">
        <f t="shared" si="28"/>
        <v>0.36458333333333326</v>
      </c>
      <c r="L38" s="5">
        <f t="shared" si="29"/>
        <v>0.36319444444444438</v>
      </c>
      <c r="M38" s="5">
        <f t="shared" si="30"/>
        <v>0.36111111111111105</v>
      </c>
      <c r="N38" s="5">
        <f t="shared" si="31"/>
        <v>0.35972222222222217</v>
      </c>
      <c r="O38" s="5">
        <f t="shared" si="32"/>
        <v>0.35833333333333328</v>
      </c>
      <c r="P38" s="5">
        <f t="shared" si="33"/>
        <v>0.3569444444444444</v>
      </c>
      <c r="Q38" s="5">
        <f t="shared" si="34"/>
        <v>0.35555555555555546</v>
      </c>
      <c r="R38" s="7">
        <f t="shared" si="35"/>
        <v>0.35416666666666657</v>
      </c>
    </row>
    <row r="39" spans="1:18" ht="17" x14ac:dyDescent="0.2">
      <c r="A39" s="1">
        <v>2007</v>
      </c>
      <c r="B39" s="6" t="s">
        <v>68</v>
      </c>
      <c r="C39" s="9">
        <f t="shared" si="20"/>
        <v>0.38402777777777769</v>
      </c>
      <c r="D39" s="5">
        <f t="shared" si="21"/>
        <v>0.38263888888888881</v>
      </c>
      <c r="E39" s="5">
        <f t="shared" si="22"/>
        <v>0.38124999999999992</v>
      </c>
      <c r="F39" s="5">
        <f t="shared" si="23"/>
        <v>0.3791666666666666</v>
      </c>
      <c r="G39" s="5">
        <f t="shared" si="24"/>
        <v>0.37708333333333327</v>
      </c>
      <c r="H39" s="5">
        <f t="shared" si="25"/>
        <v>0.37569444444444433</v>
      </c>
      <c r="I39" s="5">
        <f t="shared" si="26"/>
        <v>0.37361111111111101</v>
      </c>
      <c r="J39" s="5">
        <f t="shared" si="27"/>
        <v>0.37152777777777768</v>
      </c>
      <c r="K39" s="5">
        <f t="shared" si="28"/>
        <v>0.36874999999999991</v>
      </c>
      <c r="L39" s="5">
        <f t="shared" si="29"/>
        <v>0.36736111111111103</v>
      </c>
      <c r="M39" s="5">
        <f t="shared" si="30"/>
        <v>0.3652777777777777</v>
      </c>
      <c r="N39" s="5">
        <f t="shared" si="31"/>
        <v>0.36388888888888882</v>
      </c>
      <c r="O39" s="5">
        <f t="shared" si="32"/>
        <v>0.36249999999999993</v>
      </c>
      <c r="P39" s="5">
        <f t="shared" si="33"/>
        <v>0.36111111111111105</v>
      </c>
      <c r="Q39" s="5">
        <f t="shared" si="34"/>
        <v>0.35972222222222211</v>
      </c>
      <c r="R39" s="7">
        <f t="shared" si="35"/>
        <v>0.35833333333333323</v>
      </c>
    </row>
    <row r="40" spans="1:18" ht="17" x14ac:dyDescent="0.2">
      <c r="A40" s="1">
        <v>2008</v>
      </c>
      <c r="B40" s="6" t="s">
        <v>68</v>
      </c>
      <c r="C40" s="9">
        <f t="shared" si="20"/>
        <v>0.38819444444444434</v>
      </c>
      <c r="D40" s="5">
        <f t="shared" si="21"/>
        <v>0.38680555555555546</v>
      </c>
      <c r="E40" s="5">
        <f t="shared" si="22"/>
        <v>0.38541666666666657</v>
      </c>
      <c r="F40" s="5">
        <f t="shared" si="23"/>
        <v>0.38333333333333325</v>
      </c>
      <c r="G40" s="5">
        <f t="shared" si="24"/>
        <v>0.38124999999999992</v>
      </c>
      <c r="H40" s="5">
        <f t="shared" si="25"/>
        <v>0.37986111111111098</v>
      </c>
      <c r="I40" s="5">
        <f t="shared" si="26"/>
        <v>0.37777777777777766</v>
      </c>
      <c r="J40" s="5">
        <f t="shared" si="27"/>
        <v>0.37569444444444433</v>
      </c>
      <c r="K40" s="5">
        <f t="shared" si="28"/>
        <v>0.37291666666666656</v>
      </c>
      <c r="L40" s="5">
        <f t="shared" si="29"/>
        <v>0.37152777777777768</v>
      </c>
      <c r="M40" s="5">
        <f t="shared" si="30"/>
        <v>0.36944444444444435</v>
      </c>
      <c r="N40" s="5">
        <f t="shared" si="31"/>
        <v>0.36805555555555547</v>
      </c>
      <c r="O40" s="5">
        <f t="shared" si="32"/>
        <v>0.36666666666666659</v>
      </c>
      <c r="P40" s="5">
        <f t="shared" si="33"/>
        <v>0.3652777777777777</v>
      </c>
      <c r="Q40" s="5">
        <f t="shared" si="34"/>
        <v>0.36388888888888876</v>
      </c>
      <c r="R40" s="7">
        <f t="shared" si="35"/>
        <v>0.36249999999999988</v>
      </c>
    </row>
    <row r="41" spans="1:18" ht="17" x14ac:dyDescent="0.2">
      <c r="A41" s="1">
        <v>2009</v>
      </c>
      <c r="B41" s="6" t="s">
        <v>68</v>
      </c>
      <c r="C41" s="9">
        <f t="shared" si="20"/>
        <v>0.39236111111111099</v>
      </c>
      <c r="D41" s="5">
        <f t="shared" si="21"/>
        <v>0.39097222222222211</v>
      </c>
      <c r="E41" s="5">
        <f t="shared" si="22"/>
        <v>0.38958333333333323</v>
      </c>
      <c r="F41" s="5">
        <f t="shared" si="23"/>
        <v>0.3874999999999999</v>
      </c>
      <c r="G41" s="5">
        <f t="shared" si="24"/>
        <v>0.38541666666666657</v>
      </c>
      <c r="H41" s="5">
        <f t="shared" si="25"/>
        <v>0.38402777777777763</v>
      </c>
      <c r="I41" s="5">
        <f t="shared" si="26"/>
        <v>0.38194444444444431</v>
      </c>
      <c r="J41" s="5">
        <f t="shared" si="27"/>
        <v>0.37986111111111098</v>
      </c>
      <c r="K41" s="5">
        <f t="shared" si="28"/>
        <v>0.37708333333333321</v>
      </c>
      <c r="L41" s="5">
        <f t="shared" si="29"/>
        <v>0.37569444444444433</v>
      </c>
      <c r="M41" s="5">
        <f t="shared" si="30"/>
        <v>0.37361111111111101</v>
      </c>
      <c r="N41" s="5">
        <f t="shared" si="31"/>
        <v>0.37222222222222212</v>
      </c>
      <c r="O41" s="5">
        <f t="shared" si="32"/>
        <v>0.37083333333333324</v>
      </c>
      <c r="P41" s="5">
        <f t="shared" si="33"/>
        <v>0.36944444444444435</v>
      </c>
      <c r="Q41" s="5">
        <f t="shared" si="34"/>
        <v>0.36805555555555541</v>
      </c>
      <c r="R41" s="7">
        <f t="shared" si="35"/>
        <v>0.36666666666666653</v>
      </c>
    </row>
    <row r="42" spans="1:18" ht="17" x14ac:dyDescent="0.2">
      <c r="A42" s="1">
        <v>2010</v>
      </c>
      <c r="B42" s="6" t="s">
        <v>68</v>
      </c>
      <c r="C42" s="9">
        <f t="shared" si="20"/>
        <v>0.39652777777777765</v>
      </c>
      <c r="D42" s="5">
        <f t="shared" si="21"/>
        <v>0.39513888888888876</v>
      </c>
      <c r="E42" s="5">
        <f t="shared" si="22"/>
        <v>0.39374999999999988</v>
      </c>
      <c r="F42" s="5">
        <f t="shared" si="23"/>
        <v>0.39166666666666655</v>
      </c>
      <c r="G42" s="5">
        <f t="shared" si="24"/>
        <v>0.38958333333333323</v>
      </c>
      <c r="H42" s="5">
        <f t="shared" si="25"/>
        <v>0.38819444444444429</v>
      </c>
      <c r="I42" s="5">
        <f t="shared" si="26"/>
        <v>0.38611111111111096</v>
      </c>
      <c r="J42" s="5">
        <f t="shared" si="27"/>
        <v>0.38402777777777763</v>
      </c>
      <c r="K42" s="5">
        <f t="shared" si="28"/>
        <v>0.38124999999999987</v>
      </c>
      <c r="L42" s="5">
        <f t="shared" si="29"/>
        <v>0.37986111111111098</v>
      </c>
      <c r="M42" s="5">
        <f t="shared" si="30"/>
        <v>0.37777777777777766</v>
      </c>
      <c r="N42" s="5">
        <f t="shared" si="31"/>
        <v>0.37638888888888877</v>
      </c>
      <c r="O42" s="5">
        <f t="shared" si="32"/>
        <v>0.37499999999999989</v>
      </c>
      <c r="P42" s="5">
        <f t="shared" si="33"/>
        <v>0.37361111111111101</v>
      </c>
      <c r="Q42" s="5">
        <f t="shared" si="34"/>
        <v>0.37222222222222207</v>
      </c>
      <c r="R42" s="7">
        <f t="shared" si="35"/>
        <v>0.37083333333333318</v>
      </c>
    </row>
    <row r="43" spans="1:18" ht="17" x14ac:dyDescent="0.2">
      <c r="A43" s="1">
        <v>2011</v>
      </c>
      <c r="B43" s="6" t="s">
        <v>68</v>
      </c>
      <c r="C43" s="9">
        <f t="shared" si="20"/>
        <v>0.4006944444444443</v>
      </c>
      <c r="D43" s="5">
        <f t="shared" si="21"/>
        <v>0.39930555555555541</v>
      </c>
      <c r="E43" s="5">
        <f t="shared" si="22"/>
        <v>0.39791666666666653</v>
      </c>
      <c r="F43" s="5">
        <f t="shared" si="23"/>
        <v>0.3958333333333332</v>
      </c>
      <c r="G43" s="5">
        <f t="shared" si="24"/>
        <v>0.39374999999999988</v>
      </c>
      <c r="H43" s="5">
        <f t="shared" si="25"/>
        <v>0.39236111111111094</v>
      </c>
      <c r="I43" s="5">
        <f t="shared" si="26"/>
        <v>0.39027777777777761</v>
      </c>
      <c r="J43" s="5">
        <f t="shared" si="27"/>
        <v>0.38819444444444429</v>
      </c>
      <c r="K43" s="5">
        <f t="shared" si="28"/>
        <v>0.38541666666666652</v>
      </c>
      <c r="L43" s="5">
        <f t="shared" si="29"/>
        <v>0.38402777777777763</v>
      </c>
      <c r="M43" s="5">
        <f t="shared" si="30"/>
        <v>0.38194444444444431</v>
      </c>
      <c r="N43" s="5">
        <f t="shared" si="31"/>
        <v>0.38055555555555542</v>
      </c>
      <c r="O43" s="5">
        <f t="shared" si="32"/>
        <v>0.37916666666666654</v>
      </c>
      <c r="P43" s="5">
        <f t="shared" si="33"/>
        <v>0.37777777777777766</v>
      </c>
      <c r="Q43" s="5">
        <f t="shared" si="34"/>
        <v>0.37638888888888872</v>
      </c>
      <c r="R43" s="7">
        <f t="shared" si="35"/>
        <v>0.37499999999999983</v>
      </c>
    </row>
    <row r="44" spans="1:18" ht="17" x14ac:dyDescent="0.2">
      <c r="A44" s="1">
        <v>2012</v>
      </c>
      <c r="B44" s="6" t="s">
        <v>68</v>
      </c>
      <c r="C44" s="9">
        <f t="shared" si="20"/>
        <v>0.40486111111111095</v>
      </c>
      <c r="D44" s="5">
        <f t="shared" si="21"/>
        <v>0.40347222222222207</v>
      </c>
      <c r="E44" s="5">
        <f t="shared" si="22"/>
        <v>0.40208333333333318</v>
      </c>
      <c r="F44" s="5">
        <f t="shared" si="23"/>
        <v>0.39999999999999986</v>
      </c>
      <c r="G44" s="5">
        <f t="shared" si="24"/>
        <v>0.39791666666666653</v>
      </c>
      <c r="H44" s="5">
        <f t="shared" si="25"/>
        <v>0.39652777777777759</v>
      </c>
      <c r="I44" s="5">
        <f t="shared" si="26"/>
        <v>0.39444444444444426</v>
      </c>
      <c r="J44" s="5">
        <f t="shared" si="27"/>
        <v>0.39236111111111094</v>
      </c>
      <c r="K44" s="5">
        <f t="shared" si="28"/>
        <v>0.38958333333333317</v>
      </c>
      <c r="L44" s="5">
        <f t="shared" si="29"/>
        <v>0.38819444444444429</v>
      </c>
      <c r="M44" s="5">
        <f t="shared" si="30"/>
        <v>0.38611111111111096</v>
      </c>
      <c r="N44" s="5">
        <f t="shared" si="31"/>
        <v>0.38472222222222208</v>
      </c>
      <c r="O44" s="5">
        <f t="shared" si="32"/>
        <v>0.38333333333333319</v>
      </c>
      <c r="P44" s="5">
        <f t="shared" si="33"/>
        <v>0.38194444444444431</v>
      </c>
      <c r="Q44" s="5">
        <f t="shared" si="34"/>
        <v>0.38055555555555537</v>
      </c>
      <c r="R44" s="7">
        <f t="shared" si="35"/>
        <v>0.37916666666666649</v>
      </c>
    </row>
    <row r="45" spans="1:18" ht="17" x14ac:dyDescent="0.2">
      <c r="A45" s="1">
        <v>2013</v>
      </c>
      <c r="B45" s="6" t="s">
        <v>68</v>
      </c>
      <c r="C45" s="9">
        <f t="shared" si="20"/>
        <v>0.4090277777777776</v>
      </c>
      <c r="D45" s="5">
        <f t="shared" si="21"/>
        <v>0.40763888888888872</v>
      </c>
      <c r="E45" s="5">
        <f t="shared" si="22"/>
        <v>0.40624999999999983</v>
      </c>
      <c r="F45" s="5">
        <f t="shared" si="23"/>
        <v>0.40416666666666651</v>
      </c>
      <c r="G45" s="5">
        <f t="shared" si="24"/>
        <v>0.40208333333333318</v>
      </c>
      <c r="H45" s="5">
        <f t="shared" si="25"/>
        <v>0.40069444444444424</v>
      </c>
      <c r="I45" s="5">
        <f t="shared" si="26"/>
        <v>0.39861111111111092</v>
      </c>
      <c r="J45" s="5">
        <f t="shared" si="27"/>
        <v>0.39652777777777759</v>
      </c>
      <c r="K45" s="5">
        <f t="shared" si="28"/>
        <v>0.39374999999999982</v>
      </c>
      <c r="L45" s="5">
        <f t="shared" si="29"/>
        <v>0.39236111111111094</v>
      </c>
      <c r="M45" s="5">
        <f t="shared" si="30"/>
        <v>0.39027777777777761</v>
      </c>
      <c r="N45" s="5">
        <f t="shared" si="31"/>
        <v>0.38888888888888873</v>
      </c>
      <c r="O45" s="5">
        <f t="shared" si="32"/>
        <v>0.38749999999999984</v>
      </c>
      <c r="P45" s="5">
        <f t="shared" si="33"/>
        <v>0.38611111111111096</v>
      </c>
      <c r="Q45" s="5">
        <f t="shared" si="34"/>
        <v>0.38472222222222202</v>
      </c>
      <c r="R45" s="7">
        <f t="shared" si="35"/>
        <v>0.38333333333333314</v>
      </c>
    </row>
    <row r="46" spans="1:18" ht="17" x14ac:dyDescent="0.2">
      <c r="A46" s="1">
        <v>2014</v>
      </c>
      <c r="B46" s="6" t="s">
        <v>68</v>
      </c>
      <c r="C46" s="9">
        <f t="shared" si="20"/>
        <v>0.41319444444444425</v>
      </c>
      <c r="D46" s="5">
        <f t="shared" si="21"/>
        <v>0.41180555555555537</v>
      </c>
      <c r="E46" s="5">
        <f t="shared" si="22"/>
        <v>0.41041666666666649</v>
      </c>
      <c r="F46" s="5">
        <f t="shared" si="23"/>
        <v>0.40833333333333316</v>
      </c>
      <c r="G46" s="5">
        <f t="shared" si="24"/>
        <v>0.40624999999999983</v>
      </c>
      <c r="H46" s="5">
        <f t="shared" si="25"/>
        <v>0.40486111111111089</v>
      </c>
      <c r="I46" s="5">
        <f t="shared" si="26"/>
        <v>0.40277777777777757</v>
      </c>
      <c r="J46" s="5">
        <f t="shared" si="27"/>
        <v>0.40069444444444424</v>
      </c>
      <c r="K46" s="5">
        <f t="shared" si="28"/>
        <v>0.39791666666666647</v>
      </c>
      <c r="L46" s="5">
        <f t="shared" si="29"/>
        <v>0.39652777777777759</v>
      </c>
      <c r="M46" s="5">
        <f t="shared" si="30"/>
        <v>0.39444444444444426</v>
      </c>
      <c r="N46" s="5">
        <f t="shared" si="31"/>
        <v>0.39305555555555538</v>
      </c>
      <c r="O46" s="5">
        <f t="shared" si="32"/>
        <v>0.3916666666666665</v>
      </c>
      <c r="P46" s="5">
        <f t="shared" si="33"/>
        <v>0.39027777777777761</v>
      </c>
      <c r="Q46" s="5">
        <f t="shared" si="34"/>
        <v>0.38888888888888867</v>
      </c>
      <c r="R46" s="7">
        <f t="shared" si="35"/>
        <v>0.38749999999999979</v>
      </c>
    </row>
    <row r="47" spans="1:18" ht="17" x14ac:dyDescent="0.2">
      <c r="A47" s="1">
        <v>2015</v>
      </c>
      <c r="B47" s="6" t="s">
        <v>68</v>
      </c>
      <c r="C47" s="9">
        <f t="shared" si="20"/>
        <v>0.41736111111111091</v>
      </c>
      <c r="D47" s="5">
        <f t="shared" si="21"/>
        <v>0.41597222222222202</v>
      </c>
      <c r="E47" s="5">
        <f t="shared" si="22"/>
        <v>0.41458333333333314</v>
      </c>
      <c r="F47" s="5">
        <f t="shared" si="23"/>
        <v>0.41249999999999981</v>
      </c>
      <c r="G47" s="5">
        <f t="shared" si="24"/>
        <v>0.41041666666666649</v>
      </c>
      <c r="H47" s="5">
        <f t="shared" si="25"/>
        <v>0.40902777777777755</v>
      </c>
      <c r="I47" s="5">
        <f t="shared" si="26"/>
        <v>0.40694444444444422</v>
      </c>
      <c r="J47" s="5">
        <f t="shared" si="27"/>
        <v>0.40486111111111089</v>
      </c>
      <c r="K47" s="5">
        <f t="shared" si="28"/>
        <v>0.40208333333333313</v>
      </c>
      <c r="L47" s="5">
        <f t="shared" si="29"/>
        <v>0.40069444444444424</v>
      </c>
      <c r="M47" s="5">
        <f t="shared" si="30"/>
        <v>0.39861111111111092</v>
      </c>
      <c r="N47" s="5">
        <f t="shared" si="31"/>
        <v>0.39722222222222203</v>
      </c>
      <c r="O47" s="5">
        <f t="shared" si="32"/>
        <v>0.39583333333333315</v>
      </c>
      <c r="P47" s="5">
        <f t="shared" si="33"/>
        <v>0.39444444444444426</v>
      </c>
      <c r="Q47" s="5">
        <f t="shared" si="34"/>
        <v>0.39305555555555532</v>
      </c>
      <c r="R47" s="7">
        <f t="shared" si="35"/>
        <v>0.39166666666666644</v>
      </c>
    </row>
    <row r="48" spans="1:18" ht="17" x14ac:dyDescent="0.2">
      <c r="A48" s="1">
        <v>2016</v>
      </c>
      <c r="B48" s="6" t="s">
        <v>68</v>
      </c>
      <c r="C48" s="9">
        <f t="shared" si="20"/>
        <v>0.42152777777777756</v>
      </c>
      <c r="D48" s="5">
        <f t="shared" si="21"/>
        <v>0.42013888888888867</v>
      </c>
      <c r="E48" s="5">
        <f t="shared" si="22"/>
        <v>0.41874999999999979</v>
      </c>
      <c r="F48" s="5">
        <f t="shared" si="23"/>
        <v>0.41666666666666646</v>
      </c>
      <c r="G48" s="5">
        <f t="shared" si="24"/>
        <v>0.41458333333333314</v>
      </c>
      <c r="H48" s="5">
        <f t="shared" si="25"/>
        <v>0.4131944444444442</v>
      </c>
      <c r="I48" s="5">
        <f t="shared" si="26"/>
        <v>0.41111111111111087</v>
      </c>
      <c r="J48" s="5">
        <f t="shared" si="27"/>
        <v>0.40902777777777755</v>
      </c>
      <c r="K48" s="5">
        <f t="shared" si="28"/>
        <v>0.40624999999999978</v>
      </c>
      <c r="L48" s="5">
        <f t="shared" si="29"/>
        <v>0.40486111111111089</v>
      </c>
      <c r="M48" s="5">
        <f t="shared" si="30"/>
        <v>0.40277777777777757</v>
      </c>
      <c r="N48" s="5">
        <f t="shared" si="31"/>
        <v>0.40138888888888868</v>
      </c>
      <c r="O48" s="5">
        <f t="shared" si="32"/>
        <v>0.3999999999999998</v>
      </c>
      <c r="P48" s="5">
        <f t="shared" si="33"/>
        <v>0.39861111111111092</v>
      </c>
      <c r="Q48" s="5">
        <f t="shared" si="34"/>
        <v>0.39722222222222198</v>
      </c>
      <c r="R48" s="7">
        <f t="shared" si="35"/>
        <v>0.39583333333333309</v>
      </c>
    </row>
    <row r="49" spans="1:18" ht="17" x14ac:dyDescent="0.2">
      <c r="A49" s="1">
        <v>2017</v>
      </c>
      <c r="B49" s="6" t="s">
        <v>68</v>
      </c>
      <c r="C49" s="9">
        <f t="shared" si="20"/>
        <v>0.42569444444444421</v>
      </c>
      <c r="D49" s="5">
        <f t="shared" si="21"/>
        <v>0.42430555555555532</v>
      </c>
      <c r="E49" s="5">
        <f t="shared" si="22"/>
        <v>0.42291666666666644</v>
      </c>
      <c r="F49" s="5">
        <f t="shared" si="23"/>
        <v>0.42083333333333311</v>
      </c>
      <c r="G49" s="5">
        <f t="shared" si="24"/>
        <v>0.41874999999999979</v>
      </c>
      <c r="H49" s="5">
        <f t="shared" si="25"/>
        <v>0.41736111111111085</v>
      </c>
      <c r="I49" s="5">
        <f t="shared" si="26"/>
        <v>0.41527777777777752</v>
      </c>
      <c r="J49" s="5">
        <f t="shared" si="27"/>
        <v>0.4131944444444442</v>
      </c>
      <c r="K49" s="5">
        <f t="shared" si="28"/>
        <v>0.41041666666666643</v>
      </c>
      <c r="L49" s="5">
        <f t="shared" si="29"/>
        <v>0.40902777777777755</v>
      </c>
      <c r="M49" s="5">
        <f t="shared" si="30"/>
        <v>0.40694444444444422</v>
      </c>
      <c r="N49" s="5">
        <f t="shared" si="31"/>
        <v>0.40555555555555534</v>
      </c>
      <c r="O49" s="5">
        <f t="shared" si="32"/>
        <v>0.40416666666666645</v>
      </c>
      <c r="P49" s="5">
        <f t="shared" si="33"/>
        <v>0.40277777777777757</v>
      </c>
      <c r="Q49" s="5">
        <f t="shared" si="34"/>
        <v>0.40138888888888863</v>
      </c>
      <c r="R49" s="7">
        <f t="shared" si="35"/>
        <v>0.39999999999999974</v>
      </c>
    </row>
    <row r="50" spans="1:18" ht="17" x14ac:dyDescent="0.2">
      <c r="A50" s="1">
        <v>2018</v>
      </c>
      <c r="B50" s="6" t="s">
        <v>68</v>
      </c>
      <c r="C50" s="9">
        <f t="shared" si="20"/>
        <v>0.42986111111111086</v>
      </c>
      <c r="D50" s="5">
        <f t="shared" si="21"/>
        <v>0.42847222222222198</v>
      </c>
      <c r="E50" s="5">
        <f t="shared" si="22"/>
        <v>0.42708333333333309</v>
      </c>
      <c r="F50" s="5">
        <f t="shared" si="23"/>
        <v>0.42499999999999977</v>
      </c>
      <c r="G50" s="5">
        <f t="shared" si="24"/>
        <v>0.42291666666666644</v>
      </c>
      <c r="H50" s="5">
        <f t="shared" si="25"/>
        <v>0.4215277777777775</v>
      </c>
      <c r="I50" s="5">
        <f t="shared" si="26"/>
        <v>0.41944444444444418</v>
      </c>
      <c r="J50" s="5">
        <f t="shared" si="27"/>
        <v>0.41736111111111085</v>
      </c>
      <c r="K50" s="5">
        <f t="shared" si="28"/>
        <v>0.41458333333333308</v>
      </c>
      <c r="L50" s="5">
        <f t="shared" si="29"/>
        <v>0.4131944444444442</v>
      </c>
      <c r="M50" s="5">
        <f t="shared" si="30"/>
        <v>0.41111111111111087</v>
      </c>
      <c r="N50" s="5">
        <f t="shared" si="31"/>
        <v>0.40972222222222199</v>
      </c>
      <c r="O50" s="5">
        <f t="shared" si="32"/>
        <v>0.4083333333333331</v>
      </c>
      <c r="P50" s="5">
        <f t="shared" si="33"/>
        <v>0.40694444444444422</v>
      </c>
      <c r="Q50" s="5">
        <f t="shared" si="34"/>
        <v>0.40555555555555528</v>
      </c>
      <c r="R50" s="7">
        <f t="shared" si="35"/>
        <v>0.4041666666666664</v>
      </c>
    </row>
    <row r="51" spans="1:18" ht="17" x14ac:dyDescent="0.2">
      <c r="A51" s="1">
        <v>2019</v>
      </c>
      <c r="B51" s="6" t="s">
        <v>68</v>
      </c>
      <c r="C51" s="9">
        <f t="shared" si="20"/>
        <v>0.43402777777777751</v>
      </c>
      <c r="D51" s="5">
        <f t="shared" si="21"/>
        <v>0.43263888888888863</v>
      </c>
      <c r="E51" s="5">
        <f t="shared" si="22"/>
        <v>0.43124999999999974</v>
      </c>
      <c r="F51" s="5">
        <f t="shared" si="23"/>
        <v>0.42916666666666642</v>
      </c>
      <c r="G51" s="5">
        <f t="shared" si="24"/>
        <v>0.42708333333333309</v>
      </c>
      <c r="H51" s="5">
        <f t="shared" si="25"/>
        <v>0.42569444444444415</v>
      </c>
      <c r="I51" s="5">
        <f t="shared" si="26"/>
        <v>0.42361111111111083</v>
      </c>
      <c r="J51" s="5">
        <f t="shared" si="27"/>
        <v>0.4215277777777775</v>
      </c>
      <c r="K51" s="5">
        <f t="shared" si="28"/>
        <v>0.41874999999999973</v>
      </c>
      <c r="L51" s="5">
        <f t="shared" si="29"/>
        <v>0.41736111111111085</v>
      </c>
      <c r="M51" s="5">
        <f t="shared" si="30"/>
        <v>0.41527777777777752</v>
      </c>
      <c r="N51" s="5">
        <f t="shared" si="31"/>
        <v>0.41388888888888864</v>
      </c>
      <c r="O51" s="5">
        <f t="shared" si="32"/>
        <v>0.41249999999999976</v>
      </c>
      <c r="P51" s="5">
        <f t="shared" si="33"/>
        <v>0.41111111111111087</v>
      </c>
      <c r="Q51" s="5">
        <f t="shared" si="34"/>
        <v>0.40972222222222193</v>
      </c>
      <c r="R51" s="7">
        <f t="shared" si="35"/>
        <v>0.40833333333333305</v>
      </c>
    </row>
    <row r="52" spans="1:18" ht="17" x14ac:dyDescent="0.2">
      <c r="A52" s="1">
        <v>2020</v>
      </c>
      <c r="B52" s="6" t="s">
        <v>68</v>
      </c>
      <c r="C52" s="9">
        <f t="shared" si="20"/>
        <v>0.43819444444444416</v>
      </c>
      <c r="D52" s="5">
        <f t="shared" si="21"/>
        <v>0.43680555555555528</v>
      </c>
      <c r="E52" s="5">
        <f t="shared" si="22"/>
        <v>0.4354166666666664</v>
      </c>
      <c r="F52" s="5">
        <f t="shared" si="23"/>
        <v>0.43333333333333307</v>
      </c>
      <c r="G52" s="5">
        <f t="shared" si="24"/>
        <v>0.43124999999999974</v>
      </c>
      <c r="H52" s="5">
        <f t="shared" si="25"/>
        <v>0.42986111111111081</v>
      </c>
      <c r="I52" s="5">
        <f t="shared" si="26"/>
        <v>0.42777777777777748</v>
      </c>
      <c r="J52" s="5">
        <f t="shared" si="27"/>
        <v>0.42569444444444415</v>
      </c>
      <c r="K52" s="5">
        <f t="shared" si="28"/>
        <v>0.42291666666666639</v>
      </c>
      <c r="L52" s="5">
        <f t="shared" si="29"/>
        <v>0.4215277777777775</v>
      </c>
      <c r="M52" s="5">
        <f t="shared" si="30"/>
        <v>0.41944444444444418</v>
      </c>
      <c r="N52" s="5">
        <f t="shared" si="31"/>
        <v>0.41805555555555529</v>
      </c>
      <c r="O52" s="5">
        <f t="shared" si="32"/>
        <v>0.41666666666666641</v>
      </c>
      <c r="P52" s="5">
        <f t="shared" si="33"/>
        <v>0.41527777777777752</v>
      </c>
      <c r="Q52" s="5">
        <f t="shared" si="34"/>
        <v>0.41388888888888858</v>
      </c>
      <c r="R52" s="7">
        <f t="shared" si="35"/>
        <v>0.4124999999999997</v>
      </c>
    </row>
    <row r="53" spans="1:18" ht="17" x14ac:dyDescent="0.2">
      <c r="A53" s="1">
        <v>2021</v>
      </c>
      <c r="B53" s="6" t="s">
        <v>68</v>
      </c>
      <c r="C53" s="9">
        <f t="shared" si="20"/>
        <v>0.44236111111111082</v>
      </c>
      <c r="D53" s="5">
        <f t="shared" si="21"/>
        <v>0.44097222222222193</v>
      </c>
      <c r="E53" s="5">
        <f t="shared" si="22"/>
        <v>0.43958333333333305</v>
      </c>
      <c r="F53" s="5">
        <f t="shared" si="23"/>
        <v>0.43749999999999972</v>
      </c>
      <c r="G53" s="5">
        <f t="shared" si="24"/>
        <v>0.4354166666666664</v>
      </c>
      <c r="H53" s="5">
        <f t="shared" si="25"/>
        <v>0.43402777777777746</v>
      </c>
      <c r="I53" s="5">
        <f t="shared" si="26"/>
        <v>0.43194444444444413</v>
      </c>
      <c r="J53" s="5">
        <f t="shared" si="27"/>
        <v>0.42986111111111081</v>
      </c>
      <c r="K53" s="5">
        <f t="shared" si="28"/>
        <v>0.42708333333333304</v>
      </c>
      <c r="L53" s="5">
        <f t="shared" si="29"/>
        <v>0.42569444444444415</v>
      </c>
      <c r="M53" s="5">
        <f t="shared" si="30"/>
        <v>0.42361111111111083</v>
      </c>
      <c r="N53" s="5">
        <f t="shared" si="31"/>
        <v>0.42222222222222194</v>
      </c>
      <c r="O53" s="5">
        <f t="shared" si="32"/>
        <v>0.42083333333333306</v>
      </c>
      <c r="P53" s="5">
        <f t="shared" si="33"/>
        <v>0.41944444444444418</v>
      </c>
      <c r="Q53" s="5">
        <f t="shared" si="34"/>
        <v>0.41805555555555524</v>
      </c>
      <c r="R53" s="7">
        <f t="shared" si="35"/>
        <v>0.41666666666666635</v>
      </c>
    </row>
    <row r="54" spans="1:18" ht="17" x14ac:dyDescent="0.2">
      <c r="A54" s="1">
        <v>2022</v>
      </c>
      <c r="B54" s="6" t="s">
        <v>68</v>
      </c>
      <c r="C54" s="9">
        <f t="shared" si="20"/>
        <v>0.44652777777777747</v>
      </c>
      <c r="D54" s="5">
        <f t="shared" si="21"/>
        <v>0.44513888888888858</v>
      </c>
      <c r="E54" s="5">
        <f t="shared" si="22"/>
        <v>0.4437499999999997</v>
      </c>
      <c r="F54" s="5">
        <f t="shared" si="23"/>
        <v>0.44166666666666637</v>
      </c>
      <c r="G54" s="5">
        <f t="shared" si="24"/>
        <v>0.43958333333333305</v>
      </c>
      <c r="H54" s="5">
        <f t="shared" si="25"/>
        <v>0.43819444444444411</v>
      </c>
      <c r="I54" s="5">
        <f t="shared" si="26"/>
        <v>0.43611111111111078</v>
      </c>
      <c r="J54" s="5">
        <f t="shared" si="27"/>
        <v>0.43402777777777746</v>
      </c>
      <c r="K54" s="5">
        <f t="shared" si="28"/>
        <v>0.43124999999999969</v>
      </c>
      <c r="L54" s="5">
        <f t="shared" si="29"/>
        <v>0.42986111111111081</v>
      </c>
      <c r="M54" s="5">
        <f t="shared" si="30"/>
        <v>0.42777777777777748</v>
      </c>
      <c r="N54" s="5">
        <f t="shared" si="31"/>
        <v>0.4263888888888886</v>
      </c>
      <c r="O54" s="5">
        <f t="shared" si="32"/>
        <v>0.42499999999999971</v>
      </c>
      <c r="P54" s="5">
        <f t="shared" si="33"/>
        <v>0.42361111111111083</v>
      </c>
      <c r="Q54" s="5">
        <f t="shared" si="34"/>
        <v>0.42222222222222189</v>
      </c>
      <c r="R54" s="7">
        <f t="shared" si="35"/>
        <v>0.420833333333333</v>
      </c>
    </row>
    <row r="55" spans="1:18" ht="17" x14ac:dyDescent="0.2">
      <c r="A55" s="1">
        <v>2023</v>
      </c>
      <c r="B55" s="6" t="s">
        <v>68</v>
      </c>
      <c r="C55" s="9">
        <f t="shared" si="20"/>
        <v>0.45069444444444412</v>
      </c>
      <c r="D55" s="5">
        <f t="shared" si="21"/>
        <v>0.44930555555555524</v>
      </c>
      <c r="E55" s="5">
        <f t="shared" si="22"/>
        <v>0.44791666666666635</v>
      </c>
      <c r="F55" s="5">
        <f t="shared" si="23"/>
        <v>0.44583333333333303</v>
      </c>
      <c r="G55" s="5">
        <f t="shared" si="24"/>
        <v>0.4437499999999997</v>
      </c>
      <c r="H55" s="5">
        <f t="shared" si="25"/>
        <v>0.44236111111111076</v>
      </c>
      <c r="I55" s="5">
        <f t="shared" si="26"/>
        <v>0.44027777777777743</v>
      </c>
      <c r="J55" s="5">
        <f t="shared" si="27"/>
        <v>0.43819444444444411</v>
      </c>
      <c r="K55" s="5">
        <f t="shared" si="28"/>
        <v>0.43541666666666634</v>
      </c>
      <c r="L55" s="5">
        <f t="shared" si="29"/>
        <v>0.43402777777777746</v>
      </c>
      <c r="M55" s="5">
        <f t="shared" si="30"/>
        <v>0.43194444444444413</v>
      </c>
      <c r="N55" s="5">
        <f t="shared" si="31"/>
        <v>0.43055555555555525</v>
      </c>
      <c r="O55" s="5">
        <f t="shared" si="32"/>
        <v>0.42916666666666636</v>
      </c>
      <c r="P55" s="5">
        <f t="shared" si="33"/>
        <v>0.42777777777777748</v>
      </c>
      <c r="Q55" s="5">
        <f t="shared" si="34"/>
        <v>0.42638888888888854</v>
      </c>
      <c r="R55" s="7">
        <f t="shared" si="35"/>
        <v>0.42499999999999966</v>
      </c>
    </row>
    <row r="56" spans="1:18" ht="17" x14ac:dyDescent="0.2">
      <c r="A56" s="1">
        <v>2024</v>
      </c>
      <c r="B56" s="6" t="s">
        <v>68</v>
      </c>
      <c r="C56" s="9">
        <f t="shared" si="20"/>
        <v>0.45486111111111077</v>
      </c>
      <c r="D56" s="5">
        <f t="shared" si="21"/>
        <v>0.45347222222222189</v>
      </c>
      <c r="E56" s="5">
        <f t="shared" si="22"/>
        <v>0.452083333333333</v>
      </c>
      <c r="F56" s="5">
        <f t="shared" si="23"/>
        <v>0.44999999999999968</v>
      </c>
      <c r="G56" s="5">
        <f t="shared" si="24"/>
        <v>0.44791666666666635</v>
      </c>
      <c r="H56" s="5">
        <f t="shared" si="25"/>
        <v>0.44652777777777741</v>
      </c>
      <c r="I56" s="5">
        <f t="shared" si="26"/>
        <v>0.44444444444444409</v>
      </c>
      <c r="J56" s="5">
        <f t="shared" si="27"/>
        <v>0.44236111111111076</v>
      </c>
      <c r="K56" s="5">
        <f t="shared" si="28"/>
        <v>0.43958333333333299</v>
      </c>
      <c r="L56" s="5">
        <f t="shared" si="29"/>
        <v>0.43819444444444411</v>
      </c>
      <c r="M56" s="5">
        <f t="shared" si="30"/>
        <v>0.43611111111111078</v>
      </c>
      <c r="N56" s="5">
        <f t="shared" si="31"/>
        <v>0.4347222222222219</v>
      </c>
      <c r="O56" s="5">
        <f t="shared" si="32"/>
        <v>0.43333333333333302</v>
      </c>
      <c r="P56" s="5">
        <f t="shared" si="33"/>
        <v>0.43194444444444413</v>
      </c>
      <c r="Q56" s="5">
        <f t="shared" si="34"/>
        <v>0.43055555555555519</v>
      </c>
      <c r="R56" s="7">
        <f t="shared" si="35"/>
        <v>0.42916666666666631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5B3F-A00C-1243-8C96-68D63B737D77}">
  <dimension ref="A1:O29"/>
  <sheetViews>
    <sheetView workbookViewId="0">
      <selection activeCell="G18" sqref="G18"/>
    </sheetView>
  </sheetViews>
  <sheetFormatPr baseColWidth="10" defaultColWidth="11.1640625" defaultRowHeight="16" x14ac:dyDescent="0.2"/>
  <cols>
    <col min="2" max="3" width="0" hidden="1" customWidth="1"/>
    <col min="6" max="6" width="14.5" customWidth="1"/>
    <col min="7" max="7" width="16.1640625" customWidth="1"/>
    <col min="11" max="11" width="12" customWidth="1"/>
    <col min="12" max="13" width="14" customWidth="1"/>
    <col min="14" max="14" width="21.1640625" customWidth="1"/>
    <col min="15" max="15" width="15.83203125" customWidth="1"/>
  </cols>
  <sheetData>
    <row r="1" spans="1:15" ht="5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1</v>
      </c>
      <c r="F1" s="3" t="s">
        <v>6</v>
      </c>
      <c r="G1" s="4" t="s">
        <v>7</v>
      </c>
      <c r="H1" s="3" t="s">
        <v>8</v>
      </c>
      <c r="I1" s="4" t="s">
        <v>9</v>
      </c>
      <c r="J1" s="4" t="s">
        <v>10</v>
      </c>
      <c r="K1" s="4" t="s">
        <v>57</v>
      </c>
      <c r="L1" s="4" t="s">
        <v>58</v>
      </c>
      <c r="M1" s="17" t="s">
        <v>69</v>
      </c>
      <c r="N1" s="17" t="s">
        <v>59</v>
      </c>
      <c r="O1" s="17" t="s">
        <v>70</v>
      </c>
    </row>
    <row r="2" spans="1:15" ht="34" x14ac:dyDescent="0.2">
      <c r="A2" s="14" t="s">
        <v>11</v>
      </c>
      <c r="B2" s="15">
        <v>63</v>
      </c>
      <c r="C2" s="15" t="s">
        <v>25</v>
      </c>
      <c r="D2" s="15" t="s">
        <v>27</v>
      </c>
      <c r="E2" s="15" t="s">
        <v>28</v>
      </c>
      <c r="F2" s="16" t="s">
        <v>71</v>
      </c>
      <c r="G2" s="16" t="s">
        <v>72</v>
      </c>
      <c r="H2" s="18">
        <v>0.375</v>
      </c>
      <c r="I2" s="15" t="s">
        <v>53</v>
      </c>
      <c r="J2" s="15" t="s">
        <v>54</v>
      </c>
      <c r="K2" s="15" t="s">
        <v>27</v>
      </c>
      <c r="L2" s="19">
        <f>H2-TIME(0,3,0)</f>
        <v>0.37291666666666667</v>
      </c>
      <c r="M2" s="11">
        <v>1021</v>
      </c>
      <c r="N2" s="10">
        <v>0.38194444444444442</v>
      </c>
      <c r="O2" s="10">
        <f>N2+TIME(0,2,0)</f>
        <v>0.3833333333333333</v>
      </c>
    </row>
    <row r="3" spans="1:15" ht="34" x14ac:dyDescent="0.2">
      <c r="A3" s="15" t="s">
        <v>12</v>
      </c>
      <c r="B3" s="15">
        <v>65</v>
      </c>
      <c r="C3" s="15" t="s">
        <v>25</v>
      </c>
      <c r="D3" s="15" t="s">
        <v>29</v>
      </c>
      <c r="E3" s="15" t="s">
        <v>28</v>
      </c>
      <c r="F3" s="16" t="s">
        <v>74</v>
      </c>
      <c r="G3" s="16" t="s">
        <v>72</v>
      </c>
      <c r="H3" s="18">
        <v>0.41666666666666669</v>
      </c>
      <c r="I3" s="15" t="s">
        <v>53</v>
      </c>
      <c r="J3" s="15" t="s">
        <v>54</v>
      </c>
      <c r="K3" s="15" t="s">
        <v>29</v>
      </c>
      <c r="L3" s="19">
        <v>0.41319444444444442</v>
      </c>
      <c r="M3" s="11">
        <v>1031</v>
      </c>
      <c r="N3" s="10">
        <v>0.4236111111111111</v>
      </c>
      <c r="O3" s="10">
        <f t="shared" ref="O3:O29" si="0">N3+TIME(0,2,0)</f>
        <v>0.42499999999999999</v>
      </c>
    </row>
    <row r="4" spans="1:15" ht="34" x14ac:dyDescent="0.2">
      <c r="A4" s="15" t="s">
        <v>13</v>
      </c>
      <c r="B4" s="15">
        <v>62</v>
      </c>
      <c r="C4" s="15" t="s">
        <v>25</v>
      </c>
      <c r="D4" s="15" t="s">
        <v>30</v>
      </c>
      <c r="E4" s="15" t="s">
        <v>31</v>
      </c>
      <c r="F4" s="16" t="s">
        <v>83</v>
      </c>
      <c r="G4" s="16" t="s">
        <v>87</v>
      </c>
      <c r="H4" s="18">
        <v>0.375</v>
      </c>
      <c r="I4" s="15" t="s">
        <v>55</v>
      </c>
      <c r="J4" s="15"/>
      <c r="K4" s="15" t="s">
        <v>30</v>
      </c>
      <c r="L4" s="19">
        <v>0.37291666666666667</v>
      </c>
      <c r="M4" s="11">
        <v>1020</v>
      </c>
      <c r="N4" s="10">
        <v>0.37916666666666665</v>
      </c>
      <c r="O4" s="10">
        <f t="shared" si="0"/>
        <v>0.38055555555555554</v>
      </c>
    </row>
    <row r="5" spans="1:15" ht="34" x14ac:dyDescent="0.2">
      <c r="A5" s="15" t="s">
        <v>14</v>
      </c>
      <c r="B5" s="15">
        <v>62</v>
      </c>
      <c r="C5" s="15" t="s">
        <v>26</v>
      </c>
      <c r="D5" s="15" t="s">
        <v>30</v>
      </c>
      <c r="E5" s="15" t="s">
        <v>32</v>
      </c>
      <c r="F5" s="16" t="s">
        <v>84</v>
      </c>
      <c r="G5" s="16" t="s">
        <v>32</v>
      </c>
      <c r="H5" s="18">
        <v>0.41666666666666669</v>
      </c>
      <c r="I5" s="15" t="s">
        <v>55</v>
      </c>
      <c r="J5" s="15"/>
      <c r="K5" s="15" t="s">
        <v>30</v>
      </c>
      <c r="L5" s="19">
        <v>0.41319444444444442</v>
      </c>
      <c r="M5" s="11">
        <v>1030</v>
      </c>
      <c r="N5" s="10">
        <v>0.42499999999999999</v>
      </c>
      <c r="O5" s="10">
        <f t="shared" si="0"/>
        <v>0.42638888888888887</v>
      </c>
    </row>
    <row r="6" spans="1:15" ht="34" x14ac:dyDescent="0.2">
      <c r="A6" s="14" t="s">
        <v>15</v>
      </c>
      <c r="B6" s="15">
        <v>63</v>
      </c>
      <c r="C6" s="15" t="s">
        <v>26</v>
      </c>
      <c r="D6" s="15" t="s">
        <v>33</v>
      </c>
      <c r="E6" s="15" t="s">
        <v>34</v>
      </c>
      <c r="F6" s="16" t="s">
        <v>90</v>
      </c>
      <c r="G6" s="16" t="s">
        <v>97</v>
      </c>
      <c r="H6" s="18">
        <v>0.3888888888888889</v>
      </c>
      <c r="I6" s="15" t="s">
        <v>53</v>
      </c>
      <c r="J6" s="15" t="s">
        <v>54</v>
      </c>
      <c r="K6" s="15" t="s">
        <v>33</v>
      </c>
      <c r="L6" s="19">
        <v>0.38194444444444442</v>
      </c>
      <c r="M6" s="11">
        <v>1022</v>
      </c>
      <c r="N6" s="10">
        <v>0.39791666666666664</v>
      </c>
      <c r="O6" s="10">
        <f t="shared" si="0"/>
        <v>0.39930555555555552</v>
      </c>
    </row>
    <row r="7" spans="1:15" ht="34" x14ac:dyDescent="0.2">
      <c r="A7" s="14" t="s">
        <v>16</v>
      </c>
      <c r="B7" s="15">
        <v>63</v>
      </c>
      <c r="C7" s="15" t="s">
        <v>25</v>
      </c>
      <c r="D7" s="15" t="s">
        <v>33</v>
      </c>
      <c r="E7" s="15" t="s">
        <v>35</v>
      </c>
      <c r="F7" s="16" t="s">
        <v>91</v>
      </c>
      <c r="G7" s="16" t="s">
        <v>98</v>
      </c>
      <c r="H7" s="18">
        <v>0.375</v>
      </c>
      <c r="I7" s="15" t="s">
        <v>53</v>
      </c>
      <c r="J7" s="15" t="s">
        <v>54</v>
      </c>
      <c r="K7" s="15" t="s">
        <v>33</v>
      </c>
      <c r="L7" s="19">
        <v>0.37152777777777779</v>
      </c>
      <c r="M7" s="11">
        <v>1019</v>
      </c>
      <c r="N7" s="10">
        <v>0.39097222222222222</v>
      </c>
      <c r="O7" s="10">
        <f t="shared" si="0"/>
        <v>0.3923611111111111</v>
      </c>
    </row>
    <row r="8" spans="1:15" ht="34" x14ac:dyDescent="0.2">
      <c r="A8" s="15" t="s">
        <v>17</v>
      </c>
      <c r="B8" s="15">
        <v>55</v>
      </c>
      <c r="C8" s="15" t="s">
        <v>25</v>
      </c>
      <c r="D8" s="15" t="s">
        <v>29</v>
      </c>
      <c r="E8" s="15" t="s">
        <v>36</v>
      </c>
      <c r="F8" s="16" t="s">
        <v>75</v>
      </c>
      <c r="G8" s="16" t="s">
        <v>99</v>
      </c>
      <c r="H8" s="18">
        <v>0.375</v>
      </c>
      <c r="I8" s="15" t="s">
        <v>53</v>
      </c>
      <c r="J8" s="15" t="s">
        <v>54</v>
      </c>
      <c r="K8" s="15" t="s">
        <v>29</v>
      </c>
      <c r="L8" s="19">
        <v>0.36458333333333331</v>
      </c>
      <c r="M8" s="11">
        <v>1019</v>
      </c>
      <c r="N8" s="10">
        <v>0.38958333333333334</v>
      </c>
      <c r="O8" s="10">
        <f t="shared" si="0"/>
        <v>0.39097222222222222</v>
      </c>
    </row>
    <row r="9" spans="1:15" ht="17" x14ac:dyDescent="0.2">
      <c r="A9" s="15" t="s">
        <v>18</v>
      </c>
      <c r="B9" s="15">
        <v>60</v>
      </c>
      <c r="C9" s="15" t="s">
        <v>26</v>
      </c>
      <c r="D9" s="15" t="s">
        <v>33</v>
      </c>
      <c r="E9" s="15" t="s">
        <v>37</v>
      </c>
      <c r="F9" s="16" t="s">
        <v>92</v>
      </c>
      <c r="G9" s="16" t="s">
        <v>80</v>
      </c>
      <c r="H9" s="18">
        <v>0.375</v>
      </c>
      <c r="I9" s="15" t="s">
        <v>53</v>
      </c>
      <c r="J9" s="15" t="s">
        <v>54</v>
      </c>
      <c r="K9" s="15" t="s">
        <v>33</v>
      </c>
      <c r="L9" s="19">
        <v>0.3576388888888889</v>
      </c>
      <c r="M9" s="11">
        <v>1016</v>
      </c>
      <c r="N9" s="10">
        <v>0.37986111111111109</v>
      </c>
      <c r="O9" s="10">
        <f t="shared" si="0"/>
        <v>0.38124999999999998</v>
      </c>
    </row>
    <row r="10" spans="1:15" ht="68" x14ac:dyDescent="0.2">
      <c r="A10" s="14" t="s">
        <v>19</v>
      </c>
      <c r="B10" s="15">
        <v>40</v>
      </c>
      <c r="C10" s="15" t="s">
        <v>26</v>
      </c>
      <c r="D10" s="15" t="s">
        <v>33</v>
      </c>
      <c r="E10" s="15" t="s">
        <v>37</v>
      </c>
      <c r="F10" s="16" t="s">
        <v>71</v>
      </c>
      <c r="G10" s="16" t="s">
        <v>73</v>
      </c>
      <c r="H10" s="18">
        <v>0.375</v>
      </c>
      <c r="I10" s="15" t="s">
        <v>53</v>
      </c>
      <c r="J10" s="15" t="s">
        <v>54</v>
      </c>
      <c r="K10" s="15" t="s">
        <v>33</v>
      </c>
      <c r="L10" s="19">
        <v>0.3576388888888889</v>
      </c>
      <c r="M10" s="11">
        <v>1016</v>
      </c>
      <c r="N10" s="10">
        <v>0.37986111111111109</v>
      </c>
      <c r="O10" s="10">
        <f t="shared" si="0"/>
        <v>0.38124999999999998</v>
      </c>
    </row>
    <row r="11" spans="1:15" ht="34" x14ac:dyDescent="0.2">
      <c r="A11" s="14" t="s">
        <v>20</v>
      </c>
      <c r="B11" s="15">
        <v>60</v>
      </c>
      <c r="C11" s="15" t="s">
        <v>25</v>
      </c>
      <c r="D11" s="15" t="s">
        <v>32</v>
      </c>
      <c r="E11" s="15" t="s">
        <v>34</v>
      </c>
      <c r="F11" s="16" t="s">
        <v>32</v>
      </c>
      <c r="G11" s="16" t="s">
        <v>97</v>
      </c>
      <c r="H11" s="18">
        <v>0.38194444444444442</v>
      </c>
      <c r="I11" s="15" t="s">
        <v>55</v>
      </c>
      <c r="J11" s="15"/>
      <c r="K11" s="15" t="s">
        <v>32</v>
      </c>
      <c r="L11" s="19">
        <v>0.37847222222222221</v>
      </c>
      <c r="M11" s="11">
        <v>1020</v>
      </c>
      <c r="N11" s="10">
        <v>0.38958333333333334</v>
      </c>
      <c r="O11" s="10">
        <f t="shared" si="0"/>
        <v>0.39097222222222222</v>
      </c>
    </row>
    <row r="12" spans="1:15" ht="34" x14ac:dyDescent="0.2">
      <c r="A12" s="15" t="s">
        <v>21</v>
      </c>
      <c r="B12" s="15">
        <v>30</v>
      </c>
      <c r="C12" s="15" t="s">
        <v>25</v>
      </c>
      <c r="D12" s="15" t="s">
        <v>29</v>
      </c>
      <c r="E12" s="15" t="s">
        <v>31</v>
      </c>
      <c r="F12" s="16" t="s">
        <v>76</v>
      </c>
      <c r="G12" s="16" t="s">
        <v>100</v>
      </c>
      <c r="H12" s="18">
        <v>0.375</v>
      </c>
      <c r="I12" s="15" t="s">
        <v>53</v>
      </c>
      <c r="J12" s="15" t="s">
        <v>54</v>
      </c>
      <c r="K12" s="15" t="s">
        <v>29</v>
      </c>
      <c r="L12" s="19">
        <v>0.36458333333333331</v>
      </c>
      <c r="M12" s="11">
        <v>1019</v>
      </c>
      <c r="N12" s="10">
        <v>0.375</v>
      </c>
      <c r="O12" s="10">
        <f t="shared" si="0"/>
        <v>0.37638888888888888</v>
      </c>
    </row>
    <row r="13" spans="1:15" ht="17" x14ac:dyDescent="0.2">
      <c r="A13" s="15" t="s">
        <v>23</v>
      </c>
      <c r="B13" s="15">
        <v>25</v>
      </c>
      <c r="C13" s="15" t="s">
        <v>26</v>
      </c>
      <c r="D13" s="15" t="s">
        <v>28</v>
      </c>
      <c r="E13" s="15" t="s">
        <v>37</v>
      </c>
      <c r="F13" s="16" t="s">
        <v>32</v>
      </c>
      <c r="G13" s="16" t="s">
        <v>80</v>
      </c>
      <c r="H13" s="18">
        <v>0.375</v>
      </c>
      <c r="I13" s="15" t="s">
        <v>53</v>
      </c>
      <c r="J13" s="15" t="s">
        <v>54</v>
      </c>
      <c r="K13" s="15" t="s">
        <v>28</v>
      </c>
      <c r="L13" s="19">
        <v>0.3576388888888889</v>
      </c>
      <c r="M13" s="11">
        <v>1016</v>
      </c>
      <c r="N13" s="10">
        <v>0.37986111111111109</v>
      </c>
      <c r="O13" s="10">
        <f>N13+TIME(0,2,0)</f>
        <v>0.38124999999999998</v>
      </c>
    </row>
    <row r="14" spans="1:15" ht="34" x14ac:dyDescent="0.2">
      <c r="A14" s="15" t="s">
        <v>24</v>
      </c>
      <c r="B14" s="15">
        <v>29</v>
      </c>
      <c r="C14" s="15" t="s">
        <v>26</v>
      </c>
      <c r="D14" s="15" t="s">
        <v>28</v>
      </c>
      <c r="E14" s="15" t="s">
        <v>37</v>
      </c>
      <c r="F14" s="16" t="s">
        <v>77</v>
      </c>
      <c r="G14" s="16" t="s">
        <v>81</v>
      </c>
      <c r="H14" s="18">
        <v>0.375</v>
      </c>
      <c r="I14" s="15" t="s">
        <v>53</v>
      </c>
      <c r="J14" s="15" t="s">
        <v>54</v>
      </c>
      <c r="K14" s="15" t="s">
        <v>28</v>
      </c>
      <c r="L14" s="19">
        <v>0.35416666666666669</v>
      </c>
      <c r="M14" s="11">
        <v>1015</v>
      </c>
      <c r="N14" s="10">
        <v>0.37569444444444444</v>
      </c>
      <c r="O14" s="10">
        <f>N14+TIME(0,2,0)</f>
        <v>0.37708333333333333</v>
      </c>
    </row>
    <row r="15" spans="1:15" ht="34" x14ac:dyDescent="0.2">
      <c r="A15" s="15" t="s">
        <v>46</v>
      </c>
      <c r="B15" s="15">
        <v>60</v>
      </c>
      <c r="C15" s="15" t="s">
        <v>26</v>
      </c>
      <c r="D15" s="15" t="s">
        <v>32</v>
      </c>
      <c r="E15" s="15" t="s">
        <v>37</v>
      </c>
      <c r="F15" s="16" t="s">
        <v>93</v>
      </c>
      <c r="G15" s="16" t="s">
        <v>82</v>
      </c>
      <c r="H15" s="18">
        <v>0.375</v>
      </c>
      <c r="I15" s="15" t="s">
        <v>53</v>
      </c>
      <c r="J15" s="15" t="s">
        <v>54</v>
      </c>
      <c r="K15" s="15" t="s">
        <v>32</v>
      </c>
      <c r="L15" s="19">
        <v>0.37152777777777779</v>
      </c>
      <c r="M15" s="11">
        <v>1019</v>
      </c>
      <c r="N15" s="10">
        <v>0.3923611111111111</v>
      </c>
      <c r="O15" s="10">
        <f>N15+TIME(0,2,0)</f>
        <v>0.39374999999999999</v>
      </c>
    </row>
    <row r="16" spans="1:15" ht="34" x14ac:dyDescent="0.2">
      <c r="A16" s="14" t="s">
        <v>39</v>
      </c>
      <c r="B16" s="15">
        <v>63</v>
      </c>
      <c r="C16" s="15" t="s">
        <v>25</v>
      </c>
      <c r="D16" s="15" t="s">
        <v>27</v>
      </c>
      <c r="E16" s="15" t="s">
        <v>28</v>
      </c>
      <c r="F16" s="16" t="s">
        <v>71</v>
      </c>
      <c r="G16" s="16" t="s">
        <v>72</v>
      </c>
      <c r="H16" s="18">
        <v>0.38541666666666669</v>
      </c>
      <c r="I16" s="15" t="s">
        <v>53</v>
      </c>
      <c r="J16" s="15" t="s">
        <v>54</v>
      </c>
      <c r="K16" s="15" t="s">
        <v>27</v>
      </c>
      <c r="L16" s="19">
        <v>0.38194444444444442</v>
      </c>
      <c r="M16" s="11">
        <v>1023</v>
      </c>
      <c r="N16" s="10">
        <v>0.39027777777777778</v>
      </c>
      <c r="O16" s="10">
        <f t="shared" si="0"/>
        <v>0.39166666666666666</v>
      </c>
    </row>
    <row r="17" spans="1:15" ht="34" x14ac:dyDescent="0.2">
      <c r="A17" s="15" t="s">
        <v>40</v>
      </c>
      <c r="B17" s="15">
        <v>65</v>
      </c>
      <c r="C17" s="15" t="s">
        <v>25</v>
      </c>
      <c r="D17" s="15" t="s">
        <v>29</v>
      </c>
      <c r="E17" s="15" t="s">
        <v>28</v>
      </c>
      <c r="F17" s="16" t="s">
        <v>74</v>
      </c>
      <c r="G17" s="16" t="s">
        <v>72</v>
      </c>
      <c r="H17" s="18">
        <v>0.3888888888888889</v>
      </c>
      <c r="I17" s="15" t="s">
        <v>53</v>
      </c>
      <c r="J17" s="15" t="s">
        <v>56</v>
      </c>
      <c r="K17" s="15" t="s">
        <v>29</v>
      </c>
      <c r="L17" s="19">
        <v>0.40625</v>
      </c>
      <c r="M17" s="11">
        <v>1029</v>
      </c>
      <c r="N17" s="10">
        <v>0.4152777777777778</v>
      </c>
      <c r="O17" s="10">
        <f t="shared" si="0"/>
        <v>0.41666666666666669</v>
      </c>
    </row>
    <row r="18" spans="1:15" ht="34" x14ac:dyDescent="0.2">
      <c r="A18" s="15" t="s">
        <v>41</v>
      </c>
      <c r="B18" s="15">
        <v>62</v>
      </c>
      <c r="C18" s="15" t="s">
        <v>25</v>
      </c>
      <c r="D18" s="15" t="s">
        <v>30</v>
      </c>
      <c r="E18" s="15" t="s">
        <v>31</v>
      </c>
      <c r="F18" s="16" t="s">
        <v>85</v>
      </c>
      <c r="G18" s="16" t="s">
        <v>88</v>
      </c>
      <c r="H18" s="18">
        <v>0.41666666666666669</v>
      </c>
      <c r="I18" s="15" t="s">
        <v>55</v>
      </c>
      <c r="J18" s="15"/>
      <c r="K18" s="15" t="s">
        <v>30</v>
      </c>
      <c r="L18" s="19">
        <v>0.41319444444444442</v>
      </c>
      <c r="M18" s="11">
        <v>1030</v>
      </c>
      <c r="N18" s="10">
        <v>0.42083333333333334</v>
      </c>
      <c r="O18" s="10">
        <f t="shared" si="0"/>
        <v>0.42222222222222222</v>
      </c>
    </row>
    <row r="19" spans="1:15" ht="34" x14ac:dyDescent="0.2">
      <c r="A19" s="15" t="s">
        <v>42</v>
      </c>
      <c r="B19" s="15">
        <v>62</v>
      </c>
      <c r="C19" s="15" t="s">
        <v>26</v>
      </c>
      <c r="D19" s="15" t="s">
        <v>30</v>
      </c>
      <c r="E19" s="15" t="s">
        <v>32</v>
      </c>
      <c r="F19" s="16" t="s">
        <v>86</v>
      </c>
      <c r="G19" s="16" t="s">
        <v>89</v>
      </c>
      <c r="H19" s="18">
        <v>0.375</v>
      </c>
      <c r="I19" s="15" t="s">
        <v>55</v>
      </c>
      <c r="J19" s="15"/>
      <c r="K19" s="15" t="s">
        <v>30</v>
      </c>
      <c r="L19" s="19">
        <v>0.37152777777777779</v>
      </c>
      <c r="M19" s="11">
        <v>1019</v>
      </c>
      <c r="N19" s="10">
        <v>0.37916666666666665</v>
      </c>
      <c r="O19" s="10">
        <f t="shared" si="0"/>
        <v>0.38055555555555554</v>
      </c>
    </row>
    <row r="20" spans="1:15" ht="34" x14ac:dyDescent="0.2">
      <c r="A20" s="14" t="s">
        <v>43</v>
      </c>
      <c r="B20" s="15">
        <v>63</v>
      </c>
      <c r="C20" s="15" t="s">
        <v>26</v>
      </c>
      <c r="D20" s="15" t="s">
        <v>33</v>
      </c>
      <c r="E20" s="15" t="s">
        <v>34</v>
      </c>
      <c r="F20" s="16" t="s">
        <v>94</v>
      </c>
      <c r="G20" s="16" t="s">
        <v>34</v>
      </c>
      <c r="H20" s="18">
        <v>0.3888888888888889</v>
      </c>
      <c r="I20" s="15" t="s">
        <v>53</v>
      </c>
      <c r="J20" s="15" t="s">
        <v>54</v>
      </c>
      <c r="K20" s="15" t="s">
        <v>33</v>
      </c>
      <c r="L20" s="19">
        <v>0.38541666666666669</v>
      </c>
      <c r="M20" s="11">
        <v>1023</v>
      </c>
      <c r="N20" s="10">
        <v>0.40208333333333335</v>
      </c>
      <c r="O20" s="10">
        <f t="shared" si="0"/>
        <v>0.40347222222222223</v>
      </c>
    </row>
    <row r="21" spans="1:15" ht="34" x14ac:dyDescent="0.2">
      <c r="A21" s="14" t="s">
        <v>44</v>
      </c>
      <c r="B21" s="15">
        <v>63</v>
      </c>
      <c r="C21" s="15" t="s">
        <v>25</v>
      </c>
      <c r="D21" s="15" t="s">
        <v>33</v>
      </c>
      <c r="E21" s="15" t="s">
        <v>35</v>
      </c>
      <c r="F21" s="16" t="s">
        <v>95</v>
      </c>
      <c r="G21" s="16" t="s">
        <v>101</v>
      </c>
      <c r="H21" s="18">
        <v>0.375</v>
      </c>
      <c r="I21" s="15" t="s">
        <v>53</v>
      </c>
      <c r="J21" s="15" t="s">
        <v>54</v>
      </c>
      <c r="K21" s="15" t="s">
        <v>33</v>
      </c>
      <c r="L21" s="19">
        <v>0.37361111111111112</v>
      </c>
      <c r="M21" s="11">
        <v>1020</v>
      </c>
      <c r="N21" s="10">
        <v>0.39513888888888887</v>
      </c>
      <c r="O21" s="10">
        <f t="shared" si="0"/>
        <v>0.39652777777777776</v>
      </c>
    </row>
    <row r="22" spans="1:15" ht="34" x14ac:dyDescent="0.2">
      <c r="A22" s="15" t="s">
        <v>45</v>
      </c>
      <c r="B22" s="15">
        <v>55</v>
      </c>
      <c r="C22" s="15" t="s">
        <v>25</v>
      </c>
      <c r="D22" s="15" t="s">
        <v>29</v>
      </c>
      <c r="E22" s="15" t="s">
        <v>36</v>
      </c>
      <c r="F22" s="16" t="s">
        <v>78</v>
      </c>
      <c r="G22" s="16" t="s">
        <v>36</v>
      </c>
      <c r="H22" s="18">
        <v>0.375</v>
      </c>
      <c r="I22" s="15" t="s">
        <v>53</v>
      </c>
      <c r="J22" s="15" t="s">
        <v>54</v>
      </c>
      <c r="K22" s="15" t="s">
        <v>29</v>
      </c>
      <c r="L22" s="19">
        <v>0.37361111111111112</v>
      </c>
      <c r="M22" s="11">
        <v>1031</v>
      </c>
      <c r="N22" s="10">
        <v>0.43958333333333333</v>
      </c>
      <c r="O22" s="10">
        <f t="shared" si="0"/>
        <v>0.44097222222222221</v>
      </c>
    </row>
    <row r="23" spans="1:15" ht="34" x14ac:dyDescent="0.2">
      <c r="A23" s="15" t="s">
        <v>22</v>
      </c>
      <c r="B23" s="15">
        <v>32</v>
      </c>
      <c r="C23" s="15" t="s">
        <v>25</v>
      </c>
      <c r="D23" s="15" t="s">
        <v>32</v>
      </c>
      <c r="E23" s="15" t="s">
        <v>37</v>
      </c>
      <c r="F23" s="16" t="s">
        <v>96</v>
      </c>
      <c r="G23" s="16" t="s">
        <v>81</v>
      </c>
      <c r="H23" s="18">
        <v>0.375</v>
      </c>
      <c r="I23" s="15" t="s">
        <v>53</v>
      </c>
      <c r="J23" s="15" t="s">
        <v>54</v>
      </c>
      <c r="K23" s="15" t="s">
        <v>32</v>
      </c>
      <c r="L23" s="19">
        <v>0.36805555555555558</v>
      </c>
      <c r="M23" s="11">
        <v>1017</v>
      </c>
      <c r="N23" s="10">
        <v>0.3840277777777778</v>
      </c>
      <c r="O23" s="10">
        <f>N23+TIME(0,2,0)</f>
        <v>0.38541666666666669</v>
      </c>
    </row>
    <row r="24" spans="1:15" ht="68" x14ac:dyDescent="0.2">
      <c r="A24" s="14" t="s">
        <v>47</v>
      </c>
      <c r="B24" s="15">
        <v>40</v>
      </c>
      <c r="C24" s="15" t="s">
        <v>26</v>
      </c>
      <c r="D24" s="15" t="s">
        <v>32</v>
      </c>
      <c r="E24" s="15" t="s">
        <v>37</v>
      </c>
      <c r="F24" s="16" t="s">
        <v>71</v>
      </c>
      <c r="G24" s="16" t="s">
        <v>73</v>
      </c>
      <c r="H24" s="18">
        <v>0.375</v>
      </c>
      <c r="I24" s="15" t="s">
        <v>53</v>
      </c>
      <c r="J24" s="15" t="s">
        <v>54</v>
      </c>
      <c r="K24" s="15" t="s">
        <v>32</v>
      </c>
      <c r="L24" s="19">
        <v>0.37361111111111112</v>
      </c>
      <c r="M24" s="11">
        <v>1021</v>
      </c>
      <c r="N24" s="10">
        <v>0.40069444444444446</v>
      </c>
      <c r="O24" s="10">
        <f t="shared" si="0"/>
        <v>0.40208333333333335</v>
      </c>
    </row>
    <row r="25" spans="1:15" ht="34" x14ac:dyDescent="0.2">
      <c r="A25" s="14" t="s">
        <v>48</v>
      </c>
      <c r="B25" s="15">
        <v>60</v>
      </c>
      <c r="C25" s="15" t="s">
        <v>25</v>
      </c>
      <c r="D25" s="15" t="s">
        <v>32</v>
      </c>
      <c r="E25" s="15" t="s">
        <v>34</v>
      </c>
      <c r="F25" s="16" t="s">
        <v>32</v>
      </c>
      <c r="G25" s="16" t="s">
        <v>97</v>
      </c>
      <c r="H25" s="18">
        <v>0.375</v>
      </c>
      <c r="I25" s="15" t="s">
        <v>53</v>
      </c>
      <c r="J25" s="15" t="s">
        <v>54</v>
      </c>
      <c r="K25" s="15" t="s">
        <v>32</v>
      </c>
      <c r="L25" s="19">
        <v>0.37152777777777779</v>
      </c>
      <c r="M25" s="11">
        <v>1018</v>
      </c>
      <c r="N25" s="10">
        <v>0.38124999999999998</v>
      </c>
      <c r="O25" s="10">
        <f t="shared" si="0"/>
        <v>0.38263888888888886</v>
      </c>
    </row>
    <row r="26" spans="1:15" ht="34" x14ac:dyDescent="0.2">
      <c r="A26" s="15" t="s">
        <v>49</v>
      </c>
      <c r="B26" s="15">
        <v>30</v>
      </c>
      <c r="C26" s="15" t="s">
        <v>25</v>
      </c>
      <c r="D26" s="15" t="s">
        <v>29</v>
      </c>
      <c r="E26" s="15" t="s">
        <v>31</v>
      </c>
      <c r="F26" s="16" t="s">
        <v>79</v>
      </c>
      <c r="G26" s="16" t="s">
        <v>88</v>
      </c>
      <c r="H26" s="18">
        <v>0.375</v>
      </c>
      <c r="I26" s="15" t="s">
        <v>53</v>
      </c>
      <c r="J26" s="15" t="s">
        <v>54</v>
      </c>
      <c r="K26" s="15" t="s">
        <v>29</v>
      </c>
      <c r="L26" s="19">
        <v>0.37361111111111112</v>
      </c>
      <c r="M26" s="11">
        <v>1021</v>
      </c>
      <c r="N26" s="10">
        <v>0.38333333333333336</v>
      </c>
      <c r="O26" s="10">
        <f t="shared" si="0"/>
        <v>0.38472222222222224</v>
      </c>
    </row>
    <row r="27" spans="1:15" ht="17" x14ac:dyDescent="0.2">
      <c r="A27" s="15" t="s">
        <v>50</v>
      </c>
      <c r="B27" s="15">
        <v>32</v>
      </c>
      <c r="C27" s="15" t="s">
        <v>25</v>
      </c>
      <c r="D27" s="15" t="s">
        <v>32</v>
      </c>
      <c r="E27" s="15" t="s">
        <v>37</v>
      </c>
      <c r="F27" s="16" t="s">
        <v>32</v>
      </c>
      <c r="G27" s="16" t="s">
        <v>82</v>
      </c>
      <c r="H27" s="18">
        <v>0.375</v>
      </c>
      <c r="I27" s="15" t="s">
        <v>53</v>
      </c>
      <c r="J27" s="15" t="s">
        <v>54</v>
      </c>
      <c r="K27" s="15" t="s">
        <v>32</v>
      </c>
      <c r="L27" s="19">
        <v>0.37152777777777779</v>
      </c>
      <c r="M27" s="11">
        <v>1018</v>
      </c>
      <c r="N27" s="10">
        <v>0.38819444444444445</v>
      </c>
      <c r="O27" s="10">
        <f t="shared" si="0"/>
        <v>0.38958333333333334</v>
      </c>
    </row>
    <row r="28" spans="1:15" ht="34" x14ac:dyDescent="0.2">
      <c r="A28" s="15" t="s">
        <v>51</v>
      </c>
      <c r="B28" s="15">
        <v>25</v>
      </c>
      <c r="C28" s="15" t="s">
        <v>26</v>
      </c>
      <c r="D28" s="15" t="s">
        <v>32</v>
      </c>
      <c r="E28" s="15" t="s">
        <v>37</v>
      </c>
      <c r="F28" s="16" t="s">
        <v>77</v>
      </c>
      <c r="G28" s="16" t="s">
        <v>82</v>
      </c>
      <c r="H28" s="18">
        <v>0.375</v>
      </c>
      <c r="I28" s="15" t="s">
        <v>53</v>
      </c>
      <c r="J28" s="15" t="s">
        <v>54</v>
      </c>
      <c r="K28" s="15" t="s">
        <v>32</v>
      </c>
      <c r="L28" s="19">
        <v>0.37152777777777779</v>
      </c>
      <c r="M28" s="11">
        <v>1018</v>
      </c>
      <c r="N28" s="10">
        <v>0.38819444444444445</v>
      </c>
      <c r="O28" s="10">
        <f t="shared" si="0"/>
        <v>0.38958333333333334</v>
      </c>
    </row>
    <row r="29" spans="1:15" ht="17" x14ac:dyDescent="0.2">
      <c r="A29" s="15" t="s">
        <v>52</v>
      </c>
      <c r="B29" s="15">
        <v>29</v>
      </c>
      <c r="C29" s="15" t="s">
        <v>26</v>
      </c>
      <c r="D29" s="15" t="s">
        <v>32</v>
      </c>
      <c r="E29" s="15" t="s">
        <v>37</v>
      </c>
      <c r="F29" s="16" t="s">
        <v>91</v>
      </c>
      <c r="G29" s="16" t="s">
        <v>80</v>
      </c>
      <c r="H29" s="18">
        <v>0.375</v>
      </c>
      <c r="I29" s="15" t="s">
        <v>53</v>
      </c>
      <c r="J29" s="15" t="s">
        <v>54</v>
      </c>
      <c r="K29" s="15" t="s">
        <v>32</v>
      </c>
      <c r="L29" s="19">
        <v>0.37152777777777779</v>
      </c>
      <c r="M29" s="11">
        <v>1018</v>
      </c>
      <c r="N29" s="10">
        <v>0.38819444444444445</v>
      </c>
      <c r="O29" s="10">
        <f t="shared" si="0"/>
        <v>0.38958333333333334</v>
      </c>
    </row>
  </sheetData>
  <autoFilter ref="A1:O29" xr:uid="{B9FE5B3F-A00C-1243-8C96-68D63B737D7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1752-9374-F14D-A880-2B94F77BAECF}">
  <dimension ref="A1:J29"/>
  <sheetViews>
    <sheetView tabSelected="1" workbookViewId="0">
      <selection activeCell="F2" sqref="F2:G29"/>
    </sheetView>
  </sheetViews>
  <sheetFormatPr baseColWidth="10" defaultColWidth="10.83203125" defaultRowHeight="16" x14ac:dyDescent="0.2"/>
  <cols>
    <col min="1" max="1" width="17.6640625" style="1" customWidth="1"/>
    <col min="2" max="2" width="13.1640625" style="1" customWidth="1"/>
    <col min="3" max="3" width="10.83203125" style="1"/>
    <col min="4" max="4" width="17.1640625" style="1" customWidth="1"/>
    <col min="5" max="5" width="18.1640625" style="1" customWidth="1"/>
    <col min="6" max="6" width="19.83203125" style="1" customWidth="1"/>
    <col min="7" max="7" width="18.83203125" style="1" customWidth="1"/>
    <col min="8" max="8" width="14.33203125" style="1" customWidth="1"/>
    <col min="9" max="16384" width="10.83203125" style="1"/>
  </cols>
  <sheetData>
    <row r="1" spans="1:10" ht="51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1</v>
      </c>
      <c r="F1" s="3" t="s">
        <v>6</v>
      </c>
      <c r="G1" s="4" t="s">
        <v>7</v>
      </c>
      <c r="H1" s="3" t="s">
        <v>8</v>
      </c>
      <c r="I1" s="4" t="s">
        <v>9</v>
      </c>
      <c r="J1" s="4" t="s">
        <v>10</v>
      </c>
    </row>
    <row r="2" spans="1:10" ht="34" x14ac:dyDescent="0.2">
      <c r="A2" s="14" t="s">
        <v>11</v>
      </c>
      <c r="B2" s="15">
        <v>63</v>
      </c>
      <c r="C2" s="15" t="s">
        <v>25</v>
      </c>
      <c r="D2" s="15" t="s">
        <v>27</v>
      </c>
      <c r="E2" s="15" t="s">
        <v>28</v>
      </c>
      <c r="F2" s="12" t="s">
        <v>71</v>
      </c>
      <c r="G2" s="12" t="s">
        <v>72</v>
      </c>
      <c r="H2" s="13">
        <v>0.375</v>
      </c>
      <c r="I2" s="12" t="s">
        <v>53</v>
      </c>
      <c r="J2" s="12" t="s">
        <v>54</v>
      </c>
    </row>
    <row r="3" spans="1:10" ht="34" x14ac:dyDescent="0.2">
      <c r="A3" s="15" t="s">
        <v>12</v>
      </c>
      <c r="B3" s="15">
        <v>65</v>
      </c>
      <c r="C3" s="15" t="s">
        <v>25</v>
      </c>
      <c r="D3" s="15" t="s">
        <v>29</v>
      </c>
      <c r="E3" s="15" t="s">
        <v>28</v>
      </c>
      <c r="F3" s="12" t="s">
        <v>74</v>
      </c>
      <c r="G3" s="12" t="s">
        <v>72</v>
      </c>
      <c r="H3" s="13">
        <v>0.41666666666666669</v>
      </c>
      <c r="I3" s="12" t="s">
        <v>53</v>
      </c>
      <c r="J3" s="12" t="s">
        <v>54</v>
      </c>
    </row>
    <row r="4" spans="1:10" ht="34" x14ac:dyDescent="0.2">
      <c r="A4" s="15" t="s">
        <v>13</v>
      </c>
      <c r="B4" s="15">
        <v>62</v>
      </c>
      <c r="C4" s="15" t="s">
        <v>25</v>
      </c>
      <c r="D4" s="15" t="s">
        <v>30</v>
      </c>
      <c r="E4" s="15" t="s">
        <v>31</v>
      </c>
      <c r="F4" s="12" t="s">
        <v>83</v>
      </c>
      <c r="G4" s="12" t="s">
        <v>87</v>
      </c>
      <c r="H4" s="13">
        <v>0.375</v>
      </c>
      <c r="I4" s="12" t="s">
        <v>55</v>
      </c>
      <c r="J4" s="12"/>
    </row>
    <row r="5" spans="1:10" ht="17" x14ac:dyDescent="0.2">
      <c r="A5" s="15" t="s">
        <v>14</v>
      </c>
      <c r="B5" s="15">
        <v>62</v>
      </c>
      <c r="C5" s="15" t="s">
        <v>26</v>
      </c>
      <c r="D5" s="15" t="s">
        <v>30</v>
      </c>
      <c r="E5" s="15" t="s">
        <v>32</v>
      </c>
      <c r="F5" s="12" t="s">
        <v>84</v>
      </c>
      <c r="G5" s="12" t="s">
        <v>32</v>
      </c>
      <c r="H5" s="13">
        <v>0.41666666666666669</v>
      </c>
      <c r="I5" s="12" t="s">
        <v>55</v>
      </c>
      <c r="J5" s="12"/>
    </row>
    <row r="6" spans="1:10" ht="34" x14ac:dyDescent="0.2">
      <c r="A6" s="14" t="s">
        <v>15</v>
      </c>
      <c r="B6" s="15">
        <v>63</v>
      </c>
      <c r="C6" s="15" t="s">
        <v>26</v>
      </c>
      <c r="D6" s="15" t="s">
        <v>33</v>
      </c>
      <c r="E6" s="15" t="s">
        <v>34</v>
      </c>
      <c r="F6" s="12" t="s">
        <v>90</v>
      </c>
      <c r="G6" s="12" t="s">
        <v>97</v>
      </c>
      <c r="H6" s="13">
        <v>0.3888888888888889</v>
      </c>
      <c r="I6" s="12" t="s">
        <v>53</v>
      </c>
      <c r="J6" s="12" t="s">
        <v>54</v>
      </c>
    </row>
    <row r="7" spans="1:10" ht="17" x14ac:dyDescent="0.2">
      <c r="A7" s="14" t="s">
        <v>16</v>
      </c>
      <c r="B7" s="15">
        <v>63</v>
      </c>
      <c r="C7" s="15" t="s">
        <v>25</v>
      </c>
      <c r="D7" s="15" t="s">
        <v>33</v>
      </c>
      <c r="E7" s="15" t="s">
        <v>35</v>
      </c>
      <c r="F7" s="12" t="s">
        <v>91</v>
      </c>
      <c r="G7" s="12" t="s">
        <v>98</v>
      </c>
      <c r="H7" s="13">
        <v>0.375</v>
      </c>
      <c r="I7" s="12" t="s">
        <v>53</v>
      </c>
      <c r="J7" s="12" t="s">
        <v>54</v>
      </c>
    </row>
    <row r="8" spans="1:10" ht="34" x14ac:dyDescent="0.2">
      <c r="A8" s="15" t="s">
        <v>17</v>
      </c>
      <c r="B8" s="15">
        <v>55</v>
      </c>
      <c r="C8" s="15" t="s">
        <v>25</v>
      </c>
      <c r="D8" s="15" t="s">
        <v>29</v>
      </c>
      <c r="E8" s="15" t="s">
        <v>36</v>
      </c>
      <c r="F8" s="12" t="s">
        <v>75</v>
      </c>
      <c r="G8" s="12" t="s">
        <v>99</v>
      </c>
      <c r="H8" s="13">
        <v>0.375</v>
      </c>
      <c r="I8" s="12" t="s">
        <v>53</v>
      </c>
      <c r="J8" s="12" t="s">
        <v>54</v>
      </c>
    </row>
    <row r="9" spans="1:10" ht="17" x14ac:dyDescent="0.2">
      <c r="A9" s="15" t="s">
        <v>18</v>
      </c>
      <c r="B9" s="15">
        <v>60</v>
      </c>
      <c r="C9" s="15" t="s">
        <v>26</v>
      </c>
      <c r="D9" s="15" t="s">
        <v>33</v>
      </c>
      <c r="E9" s="15" t="s">
        <v>37</v>
      </c>
      <c r="F9" s="12" t="s">
        <v>92</v>
      </c>
      <c r="G9" s="12" t="s">
        <v>80</v>
      </c>
      <c r="H9" s="13">
        <v>0.375</v>
      </c>
      <c r="I9" s="12" t="s">
        <v>53</v>
      </c>
      <c r="J9" s="12" t="s">
        <v>54</v>
      </c>
    </row>
    <row r="10" spans="1:10" ht="51" x14ac:dyDescent="0.2">
      <c r="A10" s="14" t="s">
        <v>19</v>
      </c>
      <c r="B10" s="15">
        <v>40</v>
      </c>
      <c r="C10" s="15" t="s">
        <v>26</v>
      </c>
      <c r="D10" s="15" t="s">
        <v>38</v>
      </c>
      <c r="E10" s="15" t="s">
        <v>37</v>
      </c>
      <c r="F10" s="12" t="s">
        <v>71</v>
      </c>
      <c r="G10" s="12" t="s">
        <v>73</v>
      </c>
      <c r="H10" s="13">
        <v>0.375</v>
      </c>
      <c r="I10" s="12" t="s">
        <v>53</v>
      </c>
      <c r="J10" s="12" t="s">
        <v>54</v>
      </c>
    </row>
    <row r="11" spans="1:10" ht="34" x14ac:dyDescent="0.2">
      <c r="A11" s="14" t="s">
        <v>20</v>
      </c>
      <c r="B11" s="15">
        <v>60</v>
      </c>
      <c r="C11" s="15" t="s">
        <v>25</v>
      </c>
      <c r="D11" s="15" t="s">
        <v>32</v>
      </c>
      <c r="E11" s="15" t="s">
        <v>34</v>
      </c>
      <c r="F11" s="12" t="s">
        <v>32</v>
      </c>
      <c r="G11" s="12" t="s">
        <v>97</v>
      </c>
      <c r="H11" s="13">
        <v>0.38194444444444442</v>
      </c>
      <c r="I11" s="12" t="s">
        <v>55</v>
      </c>
      <c r="J11" s="12"/>
    </row>
    <row r="12" spans="1:10" ht="34" x14ac:dyDescent="0.2">
      <c r="A12" s="15" t="s">
        <v>21</v>
      </c>
      <c r="B12" s="15">
        <v>30</v>
      </c>
      <c r="C12" s="15" t="s">
        <v>25</v>
      </c>
      <c r="D12" s="15" t="s">
        <v>29</v>
      </c>
      <c r="E12" s="15" t="s">
        <v>31</v>
      </c>
      <c r="F12" s="12" t="s">
        <v>76</v>
      </c>
      <c r="G12" s="12" t="s">
        <v>100</v>
      </c>
      <c r="H12" s="13">
        <v>0.375</v>
      </c>
      <c r="I12" s="12" t="s">
        <v>53</v>
      </c>
      <c r="J12" s="12" t="s">
        <v>54</v>
      </c>
    </row>
    <row r="13" spans="1:10" ht="17" x14ac:dyDescent="0.2">
      <c r="A13" s="15" t="s">
        <v>22</v>
      </c>
      <c r="B13" s="15">
        <v>32</v>
      </c>
      <c r="C13" s="15" t="s">
        <v>25</v>
      </c>
      <c r="D13" s="15" t="s">
        <v>32</v>
      </c>
      <c r="E13" s="15" t="s">
        <v>37</v>
      </c>
      <c r="F13" s="12" t="s">
        <v>32</v>
      </c>
      <c r="G13" s="12" t="s">
        <v>80</v>
      </c>
      <c r="H13" s="13">
        <v>0.375</v>
      </c>
      <c r="I13" s="12" t="s">
        <v>53</v>
      </c>
      <c r="J13" s="12" t="s">
        <v>54</v>
      </c>
    </row>
    <row r="14" spans="1:10" ht="34" x14ac:dyDescent="0.2">
      <c r="A14" s="15" t="s">
        <v>23</v>
      </c>
      <c r="B14" s="15">
        <v>25</v>
      </c>
      <c r="C14" s="15" t="s">
        <v>26</v>
      </c>
      <c r="D14" s="15" t="s">
        <v>29</v>
      </c>
      <c r="E14" s="15" t="s">
        <v>37</v>
      </c>
      <c r="F14" s="12" t="s">
        <v>77</v>
      </c>
      <c r="G14" s="12" t="s">
        <v>81</v>
      </c>
      <c r="H14" s="13">
        <v>0.375</v>
      </c>
      <c r="I14" s="12" t="s">
        <v>53</v>
      </c>
      <c r="J14" s="12" t="s">
        <v>54</v>
      </c>
    </row>
    <row r="15" spans="1:10" ht="17" x14ac:dyDescent="0.2">
      <c r="A15" s="15" t="s">
        <v>24</v>
      </c>
      <c r="B15" s="15">
        <v>29</v>
      </c>
      <c r="C15" s="15" t="s">
        <v>26</v>
      </c>
      <c r="D15" s="15" t="s">
        <v>28</v>
      </c>
      <c r="E15" s="15" t="s">
        <v>37</v>
      </c>
      <c r="F15" s="12" t="s">
        <v>93</v>
      </c>
      <c r="G15" s="12" t="s">
        <v>82</v>
      </c>
      <c r="H15" s="13">
        <v>0.375</v>
      </c>
      <c r="I15" s="12" t="s">
        <v>53</v>
      </c>
      <c r="J15" s="12" t="s">
        <v>54</v>
      </c>
    </row>
    <row r="16" spans="1:10" ht="34" x14ac:dyDescent="0.2">
      <c r="A16" s="14" t="s">
        <v>39</v>
      </c>
      <c r="B16" s="15">
        <v>63</v>
      </c>
      <c r="C16" s="15" t="s">
        <v>25</v>
      </c>
      <c r="D16" s="15" t="s">
        <v>27</v>
      </c>
      <c r="E16" s="15" t="s">
        <v>28</v>
      </c>
      <c r="F16" s="12" t="s">
        <v>71</v>
      </c>
      <c r="G16" s="12" t="s">
        <v>72</v>
      </c>
      <c r="H16" s="13">
        <v>0.38541666666666669</v>
      </c>
      <c r="I16" s="12" t="s">
        <v>53</v>
      </c>
      <c r="J16" s="12" t="s">
        <v>54</v>
      </c>
    </row>
    <row r="17" spans="1:10" ht="34" x14ac:dyDescent="0.2">
      <c r="A17" s="15" t="s">
        <v>40</v>
      </c>
      <c r="B17" s="15">
        <v>65</v>
      </c>
      <c r="C17" s="15" t="s">
        <v>25</v>
      </c>
      <c r="D17" s="15" t="s">
        <v>29</v>
      </c>
      <c r="E17" s="15" t="s">
        <v>28</v>
      </c>
      <c r="F17" s="12" t="s">
        <v>74</v>
      </c>
      <c r="G17" s="12" t="s">
        <v>72</v>
      </c>
      <c r="H17" s="13">
        <v>0.3888888888888889</v>
      </c>
      <c r="I17" s="12" t="s">
        <v>53</v>
      </c>
      <c r="J17" s="12" t="s">
        <v>56</v>
      </c>
    </row>
    <row r="18" spans="1:10" ht="34" x14ac:dyDescent="0.2">
      <c r="A18" s="15" t="s">
        <v>41</v>
      </c>
      <c r="B18" s="15">
        <v>62</v>
      </c>
      <c r="C18" s="15" t="s">
        <v>25</v>
      </c>
      <c r="D18" s="15" t="s">
        <v>30</v>
      </c>
      <c r="E18" s="15" t="s">
        <v>31</v>
      </c>
      <c r="F18" s="12" t="s">
        <v>85</v>
      </c>
      <c r="G18" s="12" t="s">
        <v>88</v>
      </c>
      <c r="H18" s="13">
        <v>0.41666666666666669</v>
      </c>
      <c r="I18" s="12" t="s">
        <v>55</v>
      </c>
      <c r="J18" s="12"/>
    </row>
    <row r="19" spans="1:10" ht="17" x14ac:dyDescent="0.2">
      <c r="A19" s="15" t="s">
        <v>42</v>
      </c>
      <c r="B19" s="15">
        <v>62</v>
      </c>
      <c r="C19" s="15" t="s">
        <v>26</v>
      </c>
      <c r="D19" s="15" t="s">
        <v>30</v>
      </c>
      <c r="E19" s="15" t="s">
        <v>32</v>
      </c>
      <c r="F19" s="12" t="s">
        <v>86</v>
      </c>
      <c r="G19" s="12" t="s">
        <v>89</v>
      </c>
      <c r="H19" s="13">
        <v>0.375</v>
      </c>
      <c r="I19" s="12" t="s">
        <v>55</v>
      </c>
      <c r="J19" s="12"/>
    </row>
    <row r="20" spans="1:10" ht="34" x14ac:dyDescent="0.2">
      <c r="A20" s="14" t="s">
        <v>43</v>
      </c>
      <c r="B20" s="15">
        <v>63</v>
      </c>
      <c r="C20" s="15" t="s">
        <v>26</v>
      </c>
      <c r="D20" s="15" t="s">
        <v>33</v>
      </c>
      <c r="E20" s="15" t="s">
        <v>34</v>
      </c>
      <c r="F20" s="12" t="s">
        <v>94</v>
      </c>
      <c r="G20" s="12" t="s">
        <v>34</v>
      </c>
      <c r="H20" s="13">
        <v>0.3888888888888889</v>
      </c>
      <c r="I20" s="12" t="s">
        <v>53</v>
      </c>
      <c r="J20" s="12" t="s">
        <v>54</v>
      </c>
    </row>
    <row r="21" spans="1:10" ht="17" x14ac:dyDescent="0.2">
      <c r="A21" s="14" t="s">
        <v>44</v>
      </c>
      <c r="B21" s="15">
        <v>63</v>
      </c>
      <c r="C21" s="15" t="s">
        <v>25</v>
      </c>
      <c r="D21" s="15" t="s">
        <v>33</v>
      </c>
      <c r="E21" s="15" t="s">
        <v>35</v>
      </c>
      <c r="F21" s="12" t="s">
        <v>95</v>
      </c>
      <c r="G21" s="12" t="s">
        <v>101</v>
      </c>
      <c r="H21" s="13">
        <v>0.375</v>
      </c>
      <c r="I21" s="12" t="s">
        <v>53</v>
      </c>
      <c r="J21" s="12" t="s">
        <v>54</v>
      </c>
    </row>
    <row r="22" spans="1:10" ht="17" x14ac:dyDescent="0.2">
      <c r="A22" s="15" t="s">
        <v>45</v>
      </c>
      <c r="B22" s="15">
        <v>55</v>
      </c>
      <c r="C22" s="15" t="s">
        <v>25</v>
      </c>
      <c r="D22" s="15" t="s">
        <v>29</v>
      </c>
      <c r="E22" s="15" t="s">
        <v>36</v>
      </c>
      <c r="F22" s="12" t="s">
        <v>78</v>
      </c>
      <c r="G22" s="12" t="s">
        <v>36</v>
      </c>
      <c r="H22" s="13">
        <v>0.375</v>
      </c>
      <c r="I22" s="12" t="s">
        <v>53</v>
      </c>
      <c r="J22" s="12" t="s">
        <v>54</v>
      </c>
    </row>
    <row r="23" spans="1:10" ht="34" x14ac:dyDescent="0.2">
      <c r="A23" s="15" t="s">
        <v>46</v>
      </c>
      <c r="B23" s="15">
        <v>60</v>
      </c>
      <c r="C23" s="15" t="s">
        <v>26</v>
      </c>
      <c r="D23" s="15" t="s">
        <v>33</v>
      </c>
      <c r="E23" s="15" t="s">
        <v>37</v>
      </c>
      <c r="F23" s="12" t="s">
        <v>96</v>
      </c>
      <c r="G23" s="12" t="s">
        <v>81</v>
      </c>
      <c r="H23" s="13">
        <v>0.375</v>
      </c>
      <c r="I23" s="12" t="s">
        <v>53</v>
      </c>
      <c r="J23" s="12" t="s">
        <v>54</v>
      </c>
    </row>
    <row r="24" spans="1:10" ht="51" x14ac:dyDescent="0.2">
      <c r="A24" s="14" t="s">
        <v>47</v>
      </c>
      <c r="B24" s="15">
        <v>40</v>
      </c>
      <c r="C24" s="15" t="s">
        <v>26</v>
      </c>
      <c r="D24" s="15" t="s">
        <v>38</v>
      </c>
      <c r="E24" s="15" t="s">
        <v>37</v>
      </c>
      <c r="F24" s="12" t="s">
        <v>71</v>
      </c>
      <c r="G24" s="12" t="s">
        <v>73</v>
      </c>
      <c r="H24" s="13">
        <v>0.375</v>
      </c>
      <c r="I24" s="12" t="s">
        <v>53</v>
      </c>
      <c r="J24" s="12" t="s">
        <v>54</v>
      </c>
    </row>
    <row r="25" spans="1:10" ht="34" x14ac:dyDescent="0.2">
      <c r="A25" s="14" t="s">
        <v>48</v>
      </c>
      <c r="B25" s="15">
        <v>60</v>
      </c>
      <c r="C25" s="15" t="s">
        <v>25</v>
      </c>
      <c r="D25" s="15" t="s">
        <v>32</v>
      </c>
      <c r="E25" s="15" t="s">
        <v>34</v>
      </c>
      <c r="F25" s="12" t="s">
        <v>32</v>
      </c>
      <c r="G25" s="12" t="s">
        <v>97</v>
      </c>
      <c r="H25" s="13">
        <v>0.375</v>
      </c>
      <c r="I25" s="12" t="s">
        <v>53</v>
      </c>
      <c r="J25" s="12" t="s">
        <v>54</v>
      </c>
    </row>
    <row r="26" spans="1:10" ht="34" x14ac:dyDescent="0.2">
      <c r="A26" s="15" t="s">
        <v>49</v>
      </c>
      <c r="B26" s="15">
        <v>30</v>
      </c>
      <c r="C26" s="15" t="s">
        <v>25</v>
      </c>
      <c r="D26" s="15" t="s">
        <v>29</v>
      </c>
      <c r="E26" s="15" t="s">
        <v>31</v>
      </c>
      <c r="F26" s="12" t="s">
        <v>79</v>
      </c>
      <c r="G26" s="12" t="s">
        <v>88</v>
      </c>
      <c r="H26" s="13">
        <v>0.375</v>
      </c>
      <c r="I26" s="12" t="s">
        <v>53</v>
      </c>
      <c r="J26" s="12" t="s">
        <v>54</v>
      </c>
    </row>
    <row r="27" spans="1:10" ht="17" x14ac:dyDescent="0.2">
      <c r="A27" s="15" t="s">
        <v>50</v>
      </c>
      <c r="B27" s="15">
        <v>32</v>
      </c>
      <c r="C27" s="15" t="s">
        <v>25</v>
      </c>
      <c r="D27" s="15" t="s">
        <v>32</v>
      </c>
      <c r="E27" s="15" t="s">
        <v>37</v>
      </c>
      <c r="F27" s="12" t="s">
        <v>32</v>
      </c>
      <c r="G27" s="12" t="s">
        <v>82</v>
      </c>
      <c r="H27" s="13">
        <v>0.375</v>
      </c>
      <c r="I27" s="12" t="s">
        <v>53</v>
      </c>
      <c r="J27" s="12" t="s">
        <v>54</v>
      </c>
    </row>
    <row r="28" spans="1:10" ht="17" x14ac:dyDescent="0.2">
      <c r="A28" s="15" t="s">
        <v>51</v>
      </c>
      <c r="B28" s="15">
        <v>25</v>
      </c>
      <c r="C28" s="15" t="s">
        <v>26</v>
      </c>
      <c r="D28" s="15" t="s">
        <v>29</v>
      </c>
      <c r="E28" s="15" t="s">
        <v>37</v>
      </c>
      <c r="F28" s="12" t="s">
        <v>77</v>
      </c>
      <c r="G28" s="12" t="s">
        <v>82</v>
      </c>
      <c r="H28" s="13">
        <v>0.375</v>
      </c>
      <c r="I28" s="12" t="s">
        <v>53</v>
      </c>
      <c r="J28" s="12" t="s">
        <v>54</v>
      </c>
    </row>
    <row r="29" spans="1:10" ht="17" x14ac:dyDescent="0.2">
      <c r="A29" s="15" t="s">
        <v>52</v>
      </c>
      <c r="B29" s="15">
        <v>29</v>
      </c>
      <c r="C29" s="15" t="s">
        <v>26</v>
      </c>
      <c r="D29" s="15" t="s">
        <v>28</v>
      </c>
      <c r="E29" s="15" t="s">
        <v>37</v>
      </c>
      <c r="F29" s="12" t="s">
        <v>91</v>
      </c>
      <c r="G29" s="12" t="s">
        <v>80</v>
      </c>
      <c r="H29" s="13">
        <v>0.375</v>
      </c>
      <c r="I29" s="12" t="s">
        <v>53</v>
      </c>
      <c r="J29" s="12" t="s">
        <v>54</v>
      </c>
    </row>
  </sheetData>
  <autoFilter ref="A1:J29" xr:uid="{D4FC1752-9374-F14D-A880-2B94F77BAEC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8033-DFD9-6C42-82EE-1408DCF9AA15}">
  <dimension ref="A1:Q11"/>
  <sheetViews>
    <sheetView workbookViewId="0">
      <selection activeCell="E32" sqref="E32"/>
    </sheetView>
  </sheetViews>
  <sheetFormatPr baseColWidth="10" defaultRowHeight="16" x14ac:dyDescent="0.2"/>
  <cols>
    <col min="2" max="2" width="11.6640625" customWidth="1"/>
    <col min="3" max="3" width="12.33203125" customWidth="1"/>
    <col min="5" max="5" width="13" customWidth="1"/>
    <col min="7" max="7" width="13.5" customWidth="1"/>
    <col min="8" max="8" width="13.83203125" customWidth="1"/>
    <col min="9" max="9" width="12.1640625" customWidth="1"/>
    <col min="10" max="10" width="12" customWidth="1"/>
    <col min="11" max="11" width="13.83203125" customWidth="1"/>
  </cols>
  <sheetData>
    <row r="1" spans="1:17" ht="29" x14ac:dyDescent="0.35">
      <c r="A1" s="20" t="s">
        <v>104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s="23" customFormat="1" ht="60" x14ac:dyDescent="0.25">
      <c r="A2" s="21" t="s">
        <v>102</v>
      </c>
      <c r="B2" s="22" t="s">
        <v>38</v>
      </c>
      <c r="C2" s="22" t="s">
        <v>29</v>
      </c>
      <c r="D2" s="22" t="s">
        <v>60</v>
      </c>
      <c r="E2" s="22" t="s">
        <v>30</v>
      </c>
      <c r="F2" s="22" t="s">
        <v>28</v>
      </c>
      <c r="G2" s="22" t="s">
        <v>31</v>
      </c>
      <c r="H2" s="22" t="s">
        <v>61</v>
      </c>
      <c r="I2" s="22" t="s">
        <v>32</v>
      </c>
      <c r="J2" s="22" t="s">
        <v>63</v>
      </c>
      <c r="K2" s="22" t="s">
        <v>103</v>
      </c>
      <c r="L2" s="22" t="s">
        <v>34</v>
      </c>
      <c r="M2" s="22" t="s">
        <v>64</v>
      </c>
      <c r="N2" s="22" t="s">
        <v>65</v>
      </c>
      <c r="O2" s="22" t="s">
        <v>36</v>
      </c>
      <c r="P2" s="22" t="s">
        <v>35</v>
      </c>
      <c r="Q2" s="22" t="s">
        <v>37</v>
      </c>
    </row>
    <row r="3" spans="1:17" s="23" customFormat="1" ht="19" x14ac:dyDescent="0.25">
      <c r="A3" s="24">
        <v>0.375</v>
      </c>
      <c r="B3" s="25">
        <v>3</v>
      </c>
      <c r="C3" s="25">
        <v>2</v>
      </c>
      <c r="D3" s="25">
        <v>3</v>
      </c>
      <c r="E3" s="25">
        <v>4</v>
      </c>
      <c r="F3" s="25">
        <v>5</v>
      </c>
      <c r="G3" s="25">
        <v>2</v>
      </c>
      <c r="H3" s="25">
        <v>3</v>
      </c>
      <c r="I3" s="25">
        <v>2</v>
      </c>
      <c r="J3" s="25">
        <v>4</v>
      </c>
      <c r="K3" s="25">
        <v>5</v>
      </c>
      <c r="L3" s="25">
        <v>2</v>
      </c>
      <c r="M3" s="25">
        <v>5</v>
      </c>
      <c r="N3" s="25">
        <v>3</v>
      </c>
      <c r="O3" s="25">
        <v>5</v>
      </c>
      <c r="P3" s="25">
        <v>2</v>
      </c>
      <c r="Q3" s="25">
        <v>7</v>
      </c>
    </row>
    <row r="4" spans="1:17" s="23" customFormat="1" ht="19" x14ac:dyDescent="0.25">
      <c r="A4" s="27">
        <v>0.37708333333333333</v>
      </c>
      <c r="B4" s="26">
        <v>1</v>
      </c>
      <c r="C4" s="26">
        <v>4</v>
      </c>
      <c r="D4" s="26">
        <v>2</v>
      </c>
      <c r="E4" s="26">
        <v>6</v>
      </c>
      <c r="F4" s="26">
        <v>2</v>
      </c>
      <c r="G4" s="26">
        <v>4</v>
      </c>
      <c r="H4" s="26">
        <v>2</v>
      </c>
      <c r="I4" s="26">
        <v>5</v>
      </c>
      <c r="J4" s="26">
        <v>3</v>
      </c>
      <c r="K4" s="26">
        <v>6</v>
      </c>
      <c r="L4" s="26">
        <v>3</v>
      </c>
      <c r="M4" s="26">
        <v>2</v>
      </c>
      <c r="N4" s="26">
        <v>4</v>
      </c>
      <c r="O4" s="26">
        <v>2</v>
      </c>
      <c r="P4" s="26">
        <v>3</v>
      </c>
      <c r="Q4" s="26">
        <v>4</v>
      </c>
    </row>
    <row r="5" spans="1:17" s="23" customFormat="1" ht="19" x14ac:dyDescent="0.25">
      <c r="A5" s="24">
        <v>0.37916666666666665</v>
      </c>
      <c r="B5" s="25">
        <v>3</v>
      </c>
      <c r="C5" s="25">
        <v>5</v>
      </c>
      <c r="D5" s="25">
        <v>2</v>
      </c>
      <c r="E5" s="25">
        <v>3</v>
      </c>
      <c r="F5" s="25">
        <v>5</v>
      </c>
      <c r="G5" s="25">
        <v>6</v>
      </c>
      <c r="H5" s="25">
        <v>3</v>
      </c>
      <c r="I5" s="25">
        <v>2</v>
      </c>
      <c r="J5" s="25">
        <v>4</v>
      </c>
      <c r="K5" s="25">
        <v>3</v>
      </c>
      <c r="L5" s="25">
        <v>5</v>
      </c>
      <c r="M5" s="25">
        <v>2</v>
      </c>
      <c r="N5" s="25">
        <v>3</v>
      </c>
      <c r="O5" s="25">
        <v>4</v>
      </c>
      <c r="P5" s="25">
        <v>2</v>
      </c>
      <c r="Q5" s="25">
        <v>2</v>
      </c>
    </row>
    <row r="6" spans="1:17" s="23" customFormat="1" ht="19" x14ac:dyDescent="0.25">
      <c r="A6" s="27">
        <v>0.38263888888888886</v>
      </c>
      <c r="B6" s="26">
        <v>3</v>
      </c>
      <c r="C6" s="26">
        <v>2</v>
      </c>
      <c r="D6" s="26">
        <v>3</v>
      </c>
      <c r="E6" s="26">
        <v>4</v>
      </c>
      <c r="F6" s="26">
        <v>5</v>
      </c>
      <c r="G6" s="26">
        <v>2</v>
      </c>
      <c r="H6" s="26">
        <v>3</v>
      </c>
      <c r="I6" s="26">
        <v>2</v>
      </c>
      <c r="J6" s="26">
        <v>4</v>
      </c>
      <c r="K6" s="26">
        <v>5</v>
      </c>
      <c r="L6" s="26">
        <v>2</v>
      </c>
      <c r="M6" s="26">
        <v>5</v>
      </c>
      <c r="N6" s="26">
        <v>3</v>
      </c>
      <c r="O6" s="26">
        <v>5</v>
      </c>
      <c r="P6" s="26">
        <v>2</v>
      </c>
      <c r="Q6" s="26">
        <v>7</v>
      </c>
    </row>
    <row r="7" spans="1:17" s="23" customFormat="1" ht="19" x14ac:dyDescent="0.25">
      <c r="A7" s="24">
        <v>0.38541666666666669</v>
      </c>
      <c r="B7" s="25">
        <v>1</v>
      </c>
      <c r="C7" s="25">
        <v>4</v>
      </c>
      <c r="D7" s="25">
        <v>2</v>
      </c>
      <c r="E7" s="25">
        <v>6</v>
      </c>
      <c r="F7" s="25">
        <v>2</v>
      </c>
      <c r="G7" s="25">
        <v>4</v>
      </c>
      <c r="H7" s="25">
        <v>2</v>
      </c>
      <c r="I7" s="25">
        <v>5</v>
      </c>
      <c r="J7" s="25">
        <v>3</v>
      </c>
      <c r="K7" s="25">
        <v>6</v>
      </c>
      <c r="L7" s="25">
        <v>3</v>
      </c>
      <c r="M7" s="25">
        <v>2</v>
      </c>
      <c r="N7" s="25">
        <v>4</v>
      </c>
      <c r="O7" s="25">
        <v>2</v>
      </c>
      <c r="P7" s="25">
        <v>3</v>
      </c>
      <c r="Q7" s="25">
        <v>4</v>
      </c>
    </row>
    <row r="8" spans="1:17" s="23" customFormat="1" ht="19" x14ac:dyDescent="0.25">
      <c r="A8" s="27">
        <v>0.38750000000000001</v>
      </c>
      <c r="B8" s="26">
        <v>3</v>
      </c>
      <c r="C8" s="26">
        <v>5</v>
      </c>
      <c r="D8" s="26">
        <v>2</v>
      </c>
      <c r="E8" s="26">
        <v>3</v>
      </c>
      <c r="F8" s="26">
        <v>5</v>
      </c>
      <c r="G8" s="26">
        <v>6</v>
      </c>
      <c r="H8" s="26">
        <v>3</v>
      </c>
      <c r="I8" s="26">
        <v>2</v>
      </c>
      <c r="J8" s="26">
        <v>4</v>
      </c>
      <c r="K8" s="26">
        <v>3</v>
      </c>
      <c r="L8" s="26">
        <v>5</v>
      </c>
      <c r="M8" s="26">
        <v>2</v>
      </c>
      <c r="N8" s="26">
        <v>3</v>
      </c>
      <c r="O8" s="26">
        <v>4</v>
      </c>
      <c r="P8" s="26">
        <v>2</v>
      </c>
      <c r="Q8" s="26">
        <v>2</v>
      </c>
    </row>
    <row r="9" spans="1:17" s="23" customFormat="1" ht="19" x14ac:dyDescent="0.25">
      <c r="A9" s="24">
        <v>0.38958333333333334</v>
      </c>
      <c r="B9" s="25">
        <v>3</v>
      </c>
      <c r="C9" s="25">
        <v>2</v>
      </c>
      <c r="D9" s="25">
        <v>3</v>
      </c>
      <c r="E9" s="25">
        <v>4</v>
      </c>
      <c r="F9" s="25">
        <v>5</v>
      </c>
      <c r="G9" s="25">
        <v>2</v>
      </c>
      <c r="H9" s="25">
        <v>3</v>
      </c>
      <c r="I9" s="25">
        <v>2</v>
      </c>
      <c r="J9" s="25">
        <v>4</v>
      </c>
      <c r="K9" s="25">
        <v>5</v>
      </c>
      <c r="L9" s="25">
        <v>2</v>
      </c>
      <c r="M9" s="25">
        <v>5</v>
      </c>
      <c r="N9" s="25">
        <v>3</v>
      </c>
      <c r="O9" s="25">
        <v>5</v>
      </c>
      <c r="P9" s="25">
        <v>2</v>
      </c>
      <c r="Q9" s="25">
        <v>7</v>
      </c>
    </row>
    <row r="10" spans="1:17" s="23" customFormat="1" ht="19" x14ac:dyDescent="0.25">
      <c r="A10" s="27">
        <v>0.39166666666666666</v>
      </c>
      <c r="B10" s="26">
        <v>1</v>
      </c>
      <c r="C10" s="26">
        <v>4</v>
      </c>
      <c r="D10" s="26">
        <v>2</v>
      </c>
      <c r="E10" s="26">
        <v>6</v>
      </c>
      <c r="F10" s="26">
        <v>2</v>
      </c>
      <c r="G10" s="26">
        <v>4</v>
      </c>
      <c r="H10" s="26">
        <v>2</v>
      </c>
      <c r="I10" s="26">
        <v>5</v>
      </c>
      <c r="J10" s="26">
        <v>3</v>
      </c>
      <c r="K10" s="26">
        <v>6</v>
      </c>
      <c r="L10" s="26">
        <v>3</v>
      </c>
      <c r="M10" s="26">
        <v>2</v>
      </c>
      <c r="N10" s="26">
        <v>4</v>
      </c>
      <c r="O10" s="26">
        <v>2</v>
      </c>
      <c r="P10" s="26">
        <v>3</v>
      </c>
      <c r="Q10" s="26">
        <v>4</v>
      </c>
    </row>
    <row r="11" spans="1:17" s="23" customFormat="1" ht="19" x14ac:dyDescent="0.25">
      <c r="A11" s="24">
        <v>0.39374999999999999</v>
      </c>
      <c r="B11" s="25">
        <v>3</v>
      </c>
      <c r="C11" s="25">
        <v>5</v>
      </c>
      <c r="D11" s="25">
        <v>2</v>
      </c>
      <c r="E11" s="25">
        <v>3</v>
      </c>
      <c r="F11" s="25">
        <v>5</v>
      </c>
      <c r="G11" s="25">
        <v>6</v>
      </c>
      <c r="H11" s="25">
        <v>3</v>
      </c>
      <c r="I11" s="25">
        <v>2</v>
      </c>
      <c r="J11" s="25">
        <v>4</v>
      </c>
      <c r="K11" s="25">
        <v>3</v>
      </c>
      <c r="L11" s="25">
        <v>5</v>
      </c>
      <c r="M11" s="25">
        <v>2</v>
      </c>
      <c r="N11" s="25">
        <v>3</v>
      </c>
      <c r="O11" s="25">
        <v>4</v>
      </c>
      <c r="P11" s="25">
        <v>2</v>
      </c>
      <c r="Q11" s="25">
        <v>2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timetable</vt:lpstr>
      <vt:lpstr>Swipe data</vt:lpstr>
      <vt:lpstr>Ticket Information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T. A.</dc:creator>
  <cp:lastModifiedBy>Chandrama Ramkumar</cp:lastModifiedBy>
  <dcterms:created xsi:type="dcterms:W3CDTF">2026-03-11T13:35:12Z</dcterms:created>
  <dcterms:modified xsi:type="dcterms:W3CDTF">2026-03-12T01:31:00Z</dcterms:modified>
</cp:coreProperties>
</file>